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chris\OneDrive\Bureau\DOCUMENTS BUDGET 2024\PPM ACTUALISES\"/>
    </mc:Choice>
  </mc:AlternateContent>
  <xr:revisionPtr revIDLastSave="0" documentId="13_ncr:1_{B3B85DB9-CA7B-452F-96CD-310D93263653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AJ PPM actualisé_Suivi" sheetId="21" r:id="rId1"/>
    <sheet name="Travaux" sheetId="19" r:id="rId2"/>
    <sheet name="Biens" sheetId="20" r:id="rId3"/>
    <sheet name="Consultants" sheetId="2" r:id="rId4"/>
  </sheets>
  <definedNames>
    <definedName name="_xlnm.Print_Titles" localSheetId="2">Biens!$C:$C</definedName>
    <definedName name="_xlnm.Print_Titles" localSheetId="3">Consultants!$C:$C</definedName>
    <definedName name="_xlnm.Print_Titles" localSheetId="1">Travaux!$C:$C</definedName>
    <definedName name="_xlnm.Print_Area" localSheetId="2">Biens!$A$1:$AI$70</definedName>
    <definedName name="_xlnm.Print_Area" localSheetId="3">Consultants!$A$1:$AI$58</definedName>
    <definedName name="_xlnm.Print_Area" localSheetId="0">'MAJ PPM actualisé_Suivi'!$A$1:$O$18</definedName>
    <definedName name="_xlnm.Print_Area" localSheetId="1">Travaux!$A$1:$AG$52</definedName>
  </definedNames>
  <calcPr calcId="191029"/>
</workbook>
</file>

<file path=xl/calcChain.xml><?xml version="1.0" encoding="utf-8"?>
<calcChain xmlns="http://schemas.openxmlformats.org/spreadsheetml/2006/main">
  <c r="X50" i="20" l="1"/>
  <c r="Y50" i="20" s="1"/>
  <c r="Z50" i="20" s="1"/>
  <c r="AA50" i="20" s="1"/>
  <c r="AB50" i="20" s="1"/>
  <c r="AE50" i="20" s="1"/>
  <c r="AF50" i="20" s="1"/>
  <c r="AG50" i="20" s="1"/>
  <c r="AH50" i="20" s="1"/>
  <c r="X49" i="20"/>
  <c r="Y49" i="20" s="1"/>
  <c r="Z49" i="20" s="1"/>
  <c r="AA49" i="20" s="1"/>
  <c r="AB49" i="20" s="1"/>
  <c r="AE49" i="20" s="1"/>
  <c r="AF49" i="20" s="1"/>
  <c r="AG49" i="20" s="1"/>
  <c r="AH49" i="20" s="1"/>
  <c r="T49" i="20"/>
  <c r="U49" i="20" s="1"/>
  <c r="V49" i="20" s="1"/>
  <c r="X47" i="20"/>
  <c r="Y47" i="20" s="1"/>
  <c r="Z47" i="20" s="1"/>
  <c r="AA47" i="20" s="1"/>
  <c r="AB47" i="20" s="1"/>
  <c r="AE47" i="20" s="1"/>
  <c r="AF47" i="20" s="1"/>
  <c r="AG47" i="20" s="1"/>
  <c r="AH47" i="20" s="1"/>
  <c r="X46" i="20"/>
  <c r="Y46" i="20" s="1"/>
  <c r="Z46" i="20" s="1"/>
  <c r="AA46" i="20" s="1"/>
  <c r="AB46" i="20" s="1"/>
  <c r="AE46" i="20" s="1"/>
  <c r="AF46" i="20" s="1"/>
  <c r="AG46" i="20" s="1"/>
  <c r="AH46" i="20" s="1"/>
  <c r="T46" i="20"/>
  <c r="U46" i="20" s="1"/>
  <c r="V46" i="20" s="1"/>
  <c r="X44" i="20"/>
  <c r="Y44" i="20" s="1"/>
  <c r="Z44" i="20" s="1"/>
  <c r="AA44" i="20" s="1"/>
  <c r="AB44" i="20" s="1"/>
  <c r="AE44" i="20" s="1"/>
  <c r="AF44" i="20" s="1"/>
  <c r="AG44" i="20" s="1"/>
  <c r="AH44" i="20" s="1"/>
  <c r="X43" i="20"/>
  <c r="Y43" i="20" s="1"/>
  <c r="Z43" i="20" s="1"/>
  <c r="AA43" i="20" s="1"/>
  <c r="AB43" i="20" s="1"/>
  <c r="AE43" i="20" s="1"/>
  <c r="AF43" i="20" s="1"/>
  <c r="AG43" i="20" s="1"/>
  <c r="AH43" i="20" s="1"/>
  <c r="T43" i="20"/>
  <c r="U43" i="20" s="1"/>
  <c r="V43" i="20" s="1"/>
  <c r="AD56" i="20"/>
  <c r="AD53" i="20"/>
  <c r="AD49" i="20"/>
  <c r="AD46" i="20"/>
  <c r="AD43" i="20"/>
  <c r="Y37" i="20"/>
  <c r="Z37" i="20" s="1"/>
  <c r="AA37" i="20" s="1"/>
  <c r="AB37" i="20" s="1"/>
  <c r="AE37" i="20" s="1"/>
  <c r="AF37" i="20" s="1"/>
  <c r="AG37" i="20" s="1"/>
  <c r="AH37" i="20" s="1"/>
  <c r="AD36" i="20"/>
  <c r="X36" i="20"/>
  <c r="Y36" i="20" s="1"/>
  <c r="Z36" i="20" s="1"/>
  <c r="AA36" i="20" s="1"/>
  <c r="AB36" i="20" s="1"/>
  <c r="AE36" i="20" s="1"/>
  <c r="AF36" i="20" s="1"/>
  <c r="AG36" i="20" s="1"/>
  <c r="AH36" i="20" s="1"/>
  <c r="T36" i="20"/>
  <c r="U36" i="20" s="1"/>
  <c r="V36" i="20" s="1"/>
  <c r="Y34" i="20"/>
  <c r="Z34" i="20" s="1"/>
  <c r="AA34" i="20" s="1"/>
  <c r="AB34" i="20" s="1"/>
  <c r="AE34" i="20" s="1"/>
  <c r="AF34" i="20" s="1"/>
  <c r="AG34" i="20" s="1"/>
  <c r="AH34" i="20" s="1"/>
  <c r="AD33" i="20"/>
  <c r="X33" i="20"/>
  <c r="Y33" i="20" s="1"/>
  <c r="Z33" i="20" s="1"/>
  <c r="AA33" i="20" s="1"/>
  <c r="AB33" i="20" s="1"/>
  <c r="AE33" i="20" s="1"/>
  <c r="AF33" i="20" s="1"/>
  <c r="AG33" i="20" s="1"/>
  <c r="AH33" i="20" s="1"/>
  <c r="T33" i="20"/>
  <c r="U33" i="20" s="1"/>
  <c r="V33" i="20" s="1"/>
  <c r="Y31" i="20"/>
  <c r="Z31" i="20" s="1"/>
  <c r="AA31" i="20" s="1"/>
  <c r="AB31" i="20" s="1"/>
  <c r="AE31" i="20" s="1"/>
  <c r="AF31" i="20" s="1"/>
  <c r="AG31" i="20" s="1"/>
  <c r="AH31" i="20" s="1"/>
  <c r="AD30" i="20"/>
  <c r="X30" i="20"/>
  <c r="Y30" i="20" s="1"/>
  <c r="Z30" i="20" s="1"/>
  <c r="AA30" i="20" s="1"/>
  <c r="AB30" i="20" s="1"/>
  <c r="AE30" i="20" s="1"/>
  <c r="AF30" i="20" s="1"/>
  <c r="AG30" i="20" s="1"/>
  <c r="AH30" i="20" s="1"/>
  <c r="T30" i="20"/>
  <c r="U30" i="20" s="1"/>
  <c r="V30" i="20" s="1"/>
  <c r="M16" i="21"/>
  <c r="M17" i="21"/>
  <c r="AC43" i="19"/>
  <c r="AB43" i="19"/>
  <c r="AC23" i="19"/>
  <c r="AC27" i="19"/>
  <c r="AC34" i="19"/>
  <c r="AC37" i="19"/>
  <c r="AC40" i="19"/>
  <c r="AC31" i="19"/>
  <c r="W41" i="19" l="1"/>
  <c r="X41" i="19" s="1"/>
  <c r="Y41" i="19" s="1"/>
  <c r="Z41" i="19" s="1"/>
  <c r="AA41" i="19" s="1"/>
  <c r="AD41" i="19" s="1"/>
  <c r="AE41" i="19" s="1"/>
  <c r="AF41" i="19" s="1"/>
  <c r="AG41" i="19" s="1"/>
  <c r="V41" i="19"/>
  <c r="W40" i="19"/>
  <c r="X40" i="19" s="1"/>
  <c r="Y40" i="19" s="1"/>
  <c r="Z40" i="19" s="1"/>
  <c r="AA40" i="19" s="1"/>
  <c r="AD40" i="19" s="1"/>
  <c r="AE40" i="19" s="1"/>
  <c r="AF40" i="19" s="1"/>
  <c r="AG40" i="19" s="1"/>
  <c r="S40" i="19"/>
  <c r="T40" i="19" s="1"/>
  <c r="U40" i="19" s="1"/>
  <c r="V38" i="19"/>
  <c r="W38" i="19" s="1"/>
  <c r="X38" i="19" s="1"/>
  <c r="Y38" i="19" s="1"/>
  <c r="Z38" i="19" s="1"/>
  <c r="AA38" i="19" s="1"/>
  <c r="AD38" i="19" s="1"/>
  <c r="AE38" i="19" s="1"/>
  <c r="AF38" i="19" s="1"/>
  <c r="AG38" i="19" s="1"/>
  <c r="W37" i="19"/>
  <c r="X37" i="19" s="1"/>
  <c r="Y37" i="19" s="1"/>
  <c r="Z37" i="19" s="1"/>
  <c r="AA37" i="19" s="1"/>
  <c r="AD37" i="19" s="1"/>
  <c r="AE37" i="19" s="1"/>
  <c r="AF37" i="19" s="1"/>
  <c r="AG37" i="19" s="1"/>
  <c r="S37" i="19"/>
  <c r="T37" i="19" s="1"/>
  <c r="U37" i="19" s="1"/>
  <c r="V35" i="19"/>
  <c r="W35" i="19" s="1"/>
  <c r="X35" i="19" s="1"/>
  <c r="Y35" i="19" s="1"/>
  <c r="Z35" i="19" s="1"/>
  <c r="AA35" i="19" s="1"/>
  <c r="AD35" i="19" s="1"/>
  <c r="AE35" i="19" s="1"/>
  <c r="AF35" i="19" s="1"/>
  <c r="AG35" i="19" s="1"/>
  <c r="W34" i="19"/>
  <c r="X34" i="19" s="1"/>
  <c r="Y34" i="19" s="1"/>
  <c r="Z34" i="19" s="1"/>
  <c r="AA34" i="19" s="1"/>
  <c r="AD34" i="19" s="1"/>
  <c r="AE34" i="19" s="1"/>
  <c r="AF34" i="19" s="1"/>
  <c r="AG34" i="19" s="1"/>
  <c r="S34" i="19"/>
  <c r="T34" i="19" s="1"/>
  <c r="U34" i="19" s="1"/>
  <c r="AD57" i="2"/>
  <c r="AB57" i="2"/>
  <c r="AD40" i="20"/>
  <c r="AC60" i="20"/>
  <c r="AD27" i="20"/>
  <c r="AD60" i="20" s="1"/>
  <c r="M13" i="21"/>
  <c r="M14" i="21"/>
  <c r="M11" i="21"/>
  <c r="L15" i="21"/>
  <c r="M10" i="21"/>
  <c r="L10" i="21"/>
  <c r="M15" i="21" l="1"/>
  <c r="Y28" i="20"/>
  <c r="X41" i="20"/>
  <c r="Y41" i="20" s="1"/>
  <c r="Z41" i="20" s="1"/>
  <c r="AA41" i="20" s="1"/>
  <c r="AB41" i="20" s="1"/>
  <c r="V32" i="19"/>
  <c r="W32" i="19" s="1"/>
  <c r="X32" i="19" s="1"/>
  <c r="Y32" i="19" s="1"/>
  <c r="Z32" i="19" s="1"/>
  <c r="AA32" i="19" s="1"/>
  <c r="AD32" i="19" s="1"/>
  <c r="AE32" i="19" s="1"/>
  <c r="AF32" i="19" s="1"/>
  <c r="AG32" i="19" s="1"/>
  <c r="AF56" i="20"/>
  <c r="AH33" i="2"/>
  <c r="AH25" i="2"/>
  <c r="AH41" i="2"/>
  <c r="AH37" i="2"/>
  <c r="AH30" i="2"/>
  <c r="T53" i="20" l="1"/>
  <c r="U53" i="20" s="1"/>
  <c r="V53" i="20" s="1"/>
  <c r="S31" i="19"/>
  <c r="T31" i="19" s="1"/>
  <c r="X54" i="20"/>
  <c r="Y54" i="20" s="1"/>
  <c r="Z54" i="20" s="1"/>
  <c r="O54" i="2"/>
  <c r="AG56" i="20"/>
  <c r="AH56" i="20" s="1"/>
  <c r="Z56" i="20"/>
  <c r="V56" i="20"/>
  <c r="Q54" i="2"/>
  <c r="H60" i="20"/>
  <c r="X53" i="20" l="1"/>
  <c r="Y53" i="20" s="1"/>
  <c r="Z53" i="20" s="1"/>
  <c r="AA53" i="20" s="1"/>
  <c r="AB53" i="20" s="1"/>
  <c r="AE53" i="20" s="1"/>
  <c r="AF53" i="20" s="1"/>
  <c r="AG53" i="20" s="1"/>
  <c r="AH53" i="20" s="1"/>
  <c r="U31" i="19"/>
  <c r="AE50" i="2"/>
  <c r="AF50" i="2" s="1"/>
  <c r="AG50" i="2" s="1"/>
  <c r="AH50" i="2" s="1"/>
  <c r="H57" i="2"/>
  <c r="M53" i="2"/>
  <c r="Q49" i="2"/>
  <c r="AA49" i="2"/>
  <c r="AC49" i="2" s="1"/>
  <c r="AE49" i="2" s="1"/>
  <c r="AF49" i="2" s="1"/>
  <c r="AG49" i="2" s="1"/>
  <c r="AH49" i="2" s="1"/>
  <c r="N53" i="2" l="1"/>
  <c r="O53" i="2" s="1"/>
  <c r="W31" i="19"/>
  <c r="X31" i="19" s="1"/>
  <c r="Y31" i="19" s="1"/>
  <c r="Z31" i="19" s="1"/>
  <c r="AA31" i="19" s="1"/>
  <c r="AD31" i="19" s="1"/>
  <c r="AE31" i="19" s="1"/>
  <c r="AF31" i="19" s="1"/>
  <c r="AG31" i="19" s="1"/>
  <c r="AA54" i="20"/>
  <c r="AF41" i="2"/>
  <c r="AF37" i="2"/>
  <c r="AF33" i="2"/>
  <c r="AB54" i="20" l="1"/>
  <c r="AE54" i="20" s="1"/>
  <c r="AF54" i="20" s="1"/>
  <c r="AG54" i="20" s="1"/>
  <c r="AH54" i="20" s="1"/>
  <c r="Z54" i="2"/>
  <c r="AA54" i="2" s="1"/>
  <c r="Q53" i="2"/>
  <c r="S53" i="2" s="1"/>
  <c r="T53" i="2" s="1"/>
  <c r="W29" i="2"/>
  <c r="X29" i="2" s="1"/>
  <c r="Z29" i="2" s="1"/>
  <c r="AA29" i="2" s="1"/>
  <c r="AC29" i="2" s="1"/>
  <c r="AE29" i="2" s="1"/>
  <c r="AF29" i="2" s="1"/>
  <c r="AG29" i="2" s="1"/>
  <c r="AH29" i="2" s="1"/>
  <c r="M25" i="2"/>
  <c r="T40" i="20"/>
  <c r="U40" i="20" s="1"/>
  <c r="V40" i="20" s="1"/>
  <c r="T27" i="20"/>
  <c r="U27" i="20" s="1"/>
  <c r="V27" i="20" s="1"/>
  <c r="AC54" i="2" l="1"/>
  <c r="AE54" i="2" s="1"/>
  <c r="AF54" i="2" s="1"/>
  <c r="AG54" i="2" s="1"/>
  <c r="X27" i="20"/>
  <c r="Y27" i="20" s="1"/>
  <c r="Z27" i="20" s="1"/>
  <c r="AA27" i="20" s="1"/>
  <c r="AB27" i="20" s="1"/>
  <c r="AE27" i="20" s="1"/>
  <c r="AF27" i="20" s="1"/>
  <c r="AG27" i="20" s="1"/>
  <c r="AH27" i="20" s="1"/>
  <c r="X40" i="20"/>
  <c r="Y40" i="20" s="1"/>
  <c r="Z40" i="20" s="1"/>
  <c r="AA40" i="20" s="1"/>
  <c r="AB40" i="20" s="1"/>
  <c r="AE40" i="20" s="1"/>
  <c r="AF40" i="20" s="1"/>
  <c r="AG40" i="20" s="1"/>
  <c r="AH40" i="20" s="1"/>
  <c r="U53" i="2"/>
  <c r="X29" i="19"/>
  <c r="Y29" i="19" s="1"/>
  <c r="X25" i="19"/>
  <c r="Z25" i="19" s="1"/>
  <c r="W53" i="2" l="1"/>
  <c r="X53" i="2" s="1"/>
  <c r="Y25" i="19"/>
  <c r="E25" i="2"/>
  <c r="W27" i="19"/>
  <c r="S27" i="19"/>
  <c r="T27" i="19" s="1"/>
  <c r="U27" i="19" s="1"/>
  <c r="H43" i="19"/>
  <c r="H45" i="19" s="1"/>
  <c r="S23" i="19"/>
  <c r="T23" i="19" s="1"/>
  <c r="U23" i="19" s="1"/>
  <c r="W23" i="19"/>
  <c r="Z53" i="2" l="1"/>
  <c r="AA53" i="2" s="1"/>
  <c r="AC53" i="2" s="1"/>
  <c r="Z23" i="19"/>
  <c r="AA23" i="19" s="1"/>
  <c r="AD23" i="19" s="1"/>
  <c r="X23" i="19"/>
  <c r="Y23" i="19" s="1"/>
  <c r="Z27" i="19"/>
  <c r="AA27" i="19" s="1"/>
  <c r="AD27" i="19" s="1"/>
  <c r="X27" i="19"/>
  <c r="Y27" i="19" s="1"/>
  <c r="Z28" i="20" l="1"/>
  <c r="AE53" i="2"/>
  <c r="AF53" i="2" s="1"/>
  <c r="AG53" i="2" s="1"/>
  <c r="AE27" i="19"/>
  <c r="AF27" i="19" s="1"/>
  <c r="AG27" i="19" s="1"/>
  <c r="AE23" i="19"/>
  <c r="AF23" i="19" s="1"/>
  <c r="H62" i="20"/>
  <c r="AA28" i="20" l="1"/>
  <c r="AB28" i="20" l="1"/>
  <c r="AE28" i="20" s="1"/>
  <c r="AF28" i="20" s="1"/>
  <c r="AG28" i="20" s="1"/>
  <c r="AH28" i="20" s="1"/>
  <c r="AE41" i="20"/>
  <c r="AF41" i="20" s="1"/>
  <c r="AG41" i="20" s="1"/>
  <c r="AH41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HUBERTINE ETTY</author>
  </authors>
  <commentList>
    <comment ref="N55" authorId="0" shapeId="0" xr:uid="{DEB105F3-9D83-4554-BB5E-0927F3D99ECE}">
      <text>
        <r>
          <rPr>
            <b/>
            <sz val="9"/>
            <color indexed="81"/>
            <rFont val="Tahoma"/>
            <family val="2"/>
          </rPr>
          <t>HUBERTINE ETTY:</t>
        </r>
        <r>
          <rPr>
            <sz val="9"/>
            <color indexed="81"/>
            <rFont val="Tahoma"/>
            <family val="2"/>
          </rPr>
          <t xml:space="preserve">
retransmis le 27/02/2023 suite aux observations de la BID
</t>
        </r>
      </text>
    </comment>
  </commentList>
</comments>
</file>

<file path=xl/sharedStrings.xml><?xml version="1.0" encoding="utf-8"?>
<sst xmlns="http://schemas.openxmlformats.org/spreadsheetml/2006/main" count="780" uniqueCount="331">
  <si>
    <t>Plan</t>
  </si>
  <si>
    <t>Description*</t>
  </si>
  <si>
    <t>1</t>
  </si>
  <si>
    <t>2</t>
  </si>
  <si>
    <t>3.</t>
  </si>
  <si>
    <t>3. CONSULTANTS</t>
  </si>
  <si>
    <t>3</t>
  </si>
  <si>
    <t xml:space="preserve">PLAN DE PASSATION DE MARCHES (PPM) </t>
  </si>
  <si>
    <t>Généralités</t>
  </si>
  <si>
    <t>Pays/Organisation :</t>
  </si>
  <si>
    <t>Description Projet/Programme</t>
  </si>
  <si>
    <t>Identification SAP Projet/Programme #</t>
  </si>
  <si>
    <t>Agence d'Exécution :</t>
  </si>
  <si>
    <t>Date Approbation du Plan de Passation de Marchés (PPM) :</t>
  </si>
  <si>
    <t>Date de l'Avis Général de Passation de Marchés (AGPM) :</t>
  </si>
  <si>
    <t>Action Anticipée d'Acquisitions</t>
  </si>
  <si>
    <t>Période Couverte par ce PPM :</t>
  </si>
  <si>
    <t xml:space="preserve">Seuil d'Examen Préalable : </t>
  </si>
  <si>
    <t>Commentaires</t>
  </si>
  <si>
    <t>DONNEES  DE  BASE</t>
  </si>
  <si>
    <t>Divers Lots avec les Modes d'acquisition et le Calendrier</t>
  </si>
  <si>
    <t>Nombre de Lot</t>
  </si>
  <si>
    <t>Date Réception de ASAO*/APQ*</t>
  </si>
  <si>
    <t>Date Non-Objection à ASAO/APQ</t>
  </si>
  <si>
    <t>Mode d'acquisition</t>
  </si>
  <si>
    <t>Préférence Nation./Rég. (O/N)</t>
  </si>
  <si>
    <t>Examen Préalable ou a Posteriori</t>
  </si>
  <si>
    <t>Pré Qualification (O/N)</t>
  </si>
  <si>
    <t>ASAO : Avis spécifique d'appel d'offres</t>
  </si>
  <si>
    <t>APQ : Avis de Pré-Qualification</t>
  </si>
  <si>
    <t>Note 1.</t>
  </si>
  <si>
    <t>(Informations Supplémentaires concernant</t>
  </si>
  <si>
    <t>l'acquisition des Biens et des services autres que des services de consultants, comme Pre-qualification</t>
  </si>
  <si>
    <t>ou tout autre arrangement particulier d'acquisition.)</t>
  </si>
  <si>
    <t>Révisé</t>
  </si>
  <si>
    <t>Plan/ Révisé/ Actuel</t>
  </si>
  <si>
    <t>Actuel</t>
  </si>
  <si>
    <t>Pré-Qualification (PQ)</t>
  </si>
  <si>
    <t>Date Non-objection</t>
  </si>
  <si>
    <t>Date Lancement Appel d'offres</t>
  </si>
  <si>
    <t>Date Remise-Ouverture plis</t>
  </si>
  <si>
    <t>Période d'appel d'offres</t>
  </si>
  <si>
    <t>Projet de Contrat</t>
  </si>
  <si>
    <t>Date Réception Rapport Evaluation Offres</t>
  </si>
  <si>
    <t>Date Non-Objection</t>
  </si>
  <si>
    <t>Date Démarrage</t>
  </si>
  <si>
    <t>Date Achèvement</t>
  </si>
  <si>
    <t>Données de base</t>
  </si>
  <si>
    <t>Travaux (voir Note 2)</t>
  </si>
  <si>
    <t>Forfait ou Prix Unitaire</t>
  </si>
  <si>
    <t>Plan/ Revised/ Actuel</t>
  </si>
  <si>
    <t>Exécution du Contrat</t>
  </si>
  <si>
    <t>Note 2 :</t>
  </si>
  <si>
    <t xml:space="preserve"> Consultants (voir Note 3)</t>
  </si>
  <si>
    <t>Date Réception AMI</t>
  </si>
  <si>
    <t>Méthode de Sélection</t>
  </si>
  <si>
    <t>Forfait ou Temps-Passé</t>
  </si>
  <si>
    <t>Date estimée Remise</t>
  </si>
  <si>
    <t>Revisé</t>
  </si>
  <si>
    <t>Avis à manifestation d'intérêt (AMI)</t>
  </si>
  <si>
    <t>Termes de Référence (TDR)</t>
  </si>
  <si>
    <t>Date de Publication</t>
  </si>
  <si>
    <t>Date de Remise</t>
  </si>
  <si>
    <t>Date de Réception</t>
  </si>
  <si>
    <t>Demande de Propositions (DDP)</t>
  </si>
  <si>
    <t>Période de Soumission Propositions</t>
  </si>
  <si>
    <t>Date Invitation</t>
  </si>
  <si>
    <t>Date Remise-Ouverture propositions</t>
  </si>
  <si>
    <t>Date Soumission Rapport Evaluation (T)</t>
  </si>
  <si>
    <t>Non-objection Rapport Evaluation (T)</t>
  </si>
  <si>
    <t>Date Ouverture Propositions Financières</t>
  </si>
  <si>
    <t>Diverses Prestations avec les Modes de sélection et le Calendrier</t>
  </si>
  <si>
    <t>Total Consultants</t>
  </si>
  <si>
    <t>.</t>
  </si>
  <si>
    <t>Publication Date  ASAO/APQ</t>
  </si>
  <si>
    <t>N° Financement # :</t>
  </si>
  <si>
    <t>Montant Estimé dans la monnaie  USD(000)</t>
  </si>
  <si>
    <t>Montant Contrat en USD(000)</t>
  </si>
  <si>
    <t>Montant Estimé dans la monnaie (000) USD</t>
  </si>
  <si>
    <t xml:space="preserve">Mode de Passation </t>
  </si>
  <si>
    <t>Monnaie  1</t>
  </si>
  <si>
    <t>Monnaie  2</t>
  </si>
  <si>
    <t>Moannaie 3</t>
  </si>
  <si>
    <t>Monnaie  4</t>
  </si>
  <si>
    <t>Revue prealable</t>
  </si>
  <si>
    <t xml:space="preserve">TOTAL </t>
  </si>
  <si>
    <t>Actual</t>
  </si>
  <si>
    <t>Date Soumission Rapport Comb Tech et Fin</t>
  </si>
  <si>
    <t>Non Objection  Rapport d'Evaluation Comb Tech et Fin</t>
  </si>
  <si>
    <t>Date Réception Projet Contrat et PV de negoctiations</t>
  </si>
  <si>
    <t xml:space="preserve">Consultant </t>
  </si>
  <si>
    <t xml:space="preserve">Beneficiaire </t>
  </si>
  <si>
    <t>Signature Contrat</t>
  </si>
  <si>
    <t xml:space="preserve"> Date Réception du DAO</t>
  </si>
  <si>
    <t xml:space="preserve">Signature du marche </t>
  </si>
  <si>
    <t xml:space="preserve">Notification d'attribution </t>
  </si>
  <si>
    <t xml:space="preserve">Attribution </t>
  </si>
  <si>
    <t xml:space="preserve">Notifcation d'Intention d'Attribution </t>
  </si>
  <si>
    <t>Entreprise</t>
  </si>
  <si>
    <t xml:space="preserve">Notification d'Intention d'Attribution </t>
  </si>
  <si>
    <t xml:space="preserve">Fournisseur </t>
  </si>
  <si>
    <t>Projet de marche</t>
  </si>
  <si>
    <t>Signature du Marche</t>
  </si>
  <si>
    <t xml:space="preserve">Exécution du Marche </t>
  </si>
  <si>
    <t xml:space="preserve">Date Réception Projet Marche </t>
  </si>
  <si>
    <t>Exécution du Marche</t>
  </si>
  <si>
    <t xml:space="preserve">Projet de Marche </t>
  </si>
  <si>
    <t>Publication Date (UNDBonline, DgMarket) ASAO/APQ</t>
  </si>
  <si>
    <t>Date de publication de APQ</t>
  </si>
  <si>
    <t>Date de remise des candidatures</t>
  </si>
  <si>
    <t>Date de reception du rapport des candidatures</t>
  </si>
  <si>
    <t>2.   BIENS</t>
  </si>
  <si>
    <t>AON</t>
  </si>
  <si>
    <t>N</t>
  </si>
  <si>
    <t>préalable</t>
  </si>
  <si>
    <t>27/12/2018</t>
  </si>
  <si>
    <t>Montant Contrat en Francs CFA</t>
  </si>
  <si>
    <t>11/06/2020</t>
  </si>
  <si>
    <t>Travaux de construction d’une infrastructure scolaire de formation professionnelle et des incubateurs d’entreprises agricoles à Bouna : Première partie : construction neuve de trente-deux (32) bâtiments (Genie civil lot 1)</t>
  </si>
  <si>
    <t>06/04/2019</t>
  </si>
  <si>
    <t>14/10/2019</t>
  </si>
  <si>
    <t>04/11/2019</t>
  </si>
  <si>
    <t>07/01/2020</t>
  </si>
  <si>
    <t>Sélection de consultant pour les études et la supervision des travaux de génie civil</t>
  </si>
  <si>
    <t xml:space="preserve">République de Côte d'Ivoire </t>
  </si>
  <si>
    <t xml:space="preserve">Construction du Centre de Formation Professionnelle de l'Agriculture, de l'Elevage et de la Pêche  de Bouna                              </t>
  </si>
  <si>
    <t>Projet</t>
  </si>
  <si>
    <t>2IVC 0033 et 0034</t>
  </si>
  <si>
    <t>Cabinet du Premier Ministre/Unité de Gestion du Projet</t>
  </si>
  <si>
    <t xml:space="preserve">Travaux de construction d’une infrastructure scolaire de formation professionnelle et des incubateurs d’entreprises agricoles à Bouna : Deuxième partie : aménagement de voiries et réseaux divers - aménagements des infrastructures agricoles - travaux de construction de la clôture de l’établissement et installations sportives (Genie civil lot 2) </t>
  </si>
  <si>
    <t>AON : Appel d'Offres National</t>
  </si>
  <si>
    <t>AOI</t>
  </si>
  <si>
    <t>AOI : Appel d'Offres International</t>
  </si>
  <si>
    <t>Date Non-objection BIsD</t>
  </si>
  <si>
    <t>Coût Total Biens</t>
  </si>
  <si>
    <t>PLAN DE PASSATION DE MARCHES (PPM) DE BIENS</t>
  </si>
  <si>
    <t>Sélection de consultant pour les études et la supervision de la fourniture et installation des équipements</t>
  </si>
  <si>
    <t xml:space="preserve">Conception de programme de formation </t>
  </si>
  <si>
    <t>Formation de 30  formateurs d'enseignants</t>
  </si>
  <si>
    <t>Audit financier</t>
  </si>
  <si>
    <t>Manuel de procédures</t>
  </si>
  <si>
    <t>Contrat direct</t>
  </si>
  <si>
    <t>phase étude au forfait / suivi et contrôle au temps passé</t>
  </si>
  <si>
    <t>forfait</t>
  </si>
  <si>
    <t xml:space="preserve">à posteriori </t>
  </si>
  <si>
    <t>01/07/2015</t>
  </si>
  <si>
    <t>29/06/2015</t>
  </si>
  <si>
    <t>08/07/2015</t>
  </si>
  <si>
    <t>04/07/2015</t>
  </si>
  <si>
    <t>28/07/2015</t>
  </si>
  <si>
    <t>12/08/2015</t>
  </si>
  <si>
    <t>14/04/2016</t>
  </si>
  <si>
    <t>17/08/2015</t>
  </si>
  <si>
    <t>06/01/2016</t>
  </si>
  <si>
    <t>12/09/2015</t>
  </si>
  <si>
    <t>18/04/2016</t>
  </si>
  <si>
    <t>07/09/2015</t>
  </si>
  <si>
    <t>12/10/2015</t>
  </si>
  <si>
    <t>15/06/2016</t>
  </si>
  <si>
    <t>30/10/2015</t>
  </si>
  <si>
    <t>02/07/2015</t>
  </si>
  <si>
    <t>05/11/2015</t>
  </si>
  <si>
    <t>30/08/2015</t>
  </si>
  <si>
    <t>14/11/2015</t>
  </si>
  <si>
    <t>06/09/2016</t>
  </si>
  <si>
    <t>30/11/2015</t>
  </si>
  <si>
    <t>14/09/2015</t>
  </si>
  <si>
    <t>06/12/2015</t>
  </si>
  <si>
    <t>11/10/2016</t>
  </si>
  <si>
    <t>09/12/2015</t>
  </si>
  <si>
    <t>Montant Contrat en FCFA</t>
  </si>
  <si>
    <t>11/11/2016</t>
  </si>
  <si>
    <t>16/11/2016</t>
  </si>
  <si>
    <t>10/12/2015</t>
  </si>
  <si>
    <t>31/12/2015</t>
  </si>
  <si>
    <t>20/01/2016</t>
  </si>
  <si>
    <t>21/11/2016</t>
  </si>
  <si>
    <t>24/02/2017</t>
  </si>
  <si>
    <t>13/03/2017</t>
  </si>
  <si>
    <t>11/12/2017</t>
  </si>
  <si>
    <t>12/12/2017</t>
  </si>
  <si>
    <t>16/03/2017</t>
  </si>
  <si>
    <t>18/12/2017</t>
  </si>
  <si>
    <t>31/03/2017</t>
  </si>
  <si>
    <t>05/01/2018</t>
  </si>
  <si>
    <t>05/04/2017</t>
  </si>
  <si>
    <t>24/04/2017</t>
  </si>
  <si>
    <t>08/02/2018</t>
  </si>
  <si>
    <t>20/03/2020</t>
  </si>
  <si>
    <t>22/05/2017</t>
  </si>
  <si>
    <t>08/04/2020</t>
  </si>
  <si>
    <t>01/07/2020</t>
  </si>
  <si>
    <t>21/06/2017</t>
  </si>
  <si>
    <t>23/07/2020</t>
  </si>
  <si>
    <t>07/07/2017</t>
  </si>
  <si>
    <t>N/A</t>
  </si>
  <si>
    <t>24/05/2017</t>
  </si>
  <si>
    <t>18/05/2018</t>
  </si>
  <si>
    <t>06/06/2017</t>
  </si>
  <si>
    <t>15/08/2018</t>
  </si>
  <si>
    <t>04/09/2018</t>
  </si>
  <si>
    <t>24/09/2018</t>
  </si>
  <si>
    <t>07/06/2017</t>
  </si>
  <si>
    <t>11/08/2017</t>
  </si>
  <si>
    <t>25/09/2018</t>
  </si>
  <si>
    <t>28/09/2020</t>
  </si>
  <si>
    <t>09/10/2018</t>
  </si>
  <si>
    <t>11/06/2016</t>
  </si>
  <si>
    <t>09/02/2017</t>
  </si>
  <si>
    <t>20/02/2017</t>
  </si>
  <si>
    <t>20/04/2017</t>
  </si>
  <si>
    <t>05/05/2017</t>
  </si>
  <si>
    <t>29/05/2017</t>
  </si>
  <si>
    <t>06/04/2017</t>
  </si>
  <si>
    <t>13/04/2017</t>
  </si>
  <si>
    <t>12/09/2017</t>
  </si>
  <si>
    <t>08/05/2017</t>
  </si>
  <si>
    <t>17/05/2018</t>
  </si>
  <si>
    <t>17/06/2017</t>
  </si>
  <si>
    <t>23/05/2018</t>
  </si>
  <si>
    <t>17/07/2017</t>
  </si>
  <si>
    <t>27/06/2018</t>
  </si>
  <si>
    <t>13/08/2017</t>
  </si>
  <si>
    <t>13/07/2018</t>
  </si>
  <si>
    <t>28/08/2017</t>
  </si>
  <si>
    <t>14/02/2019</t>
  </si>
  <si>
    <t>05/03/2019</t>
  </si>
  <si>
    <t>01/10/2017</t>
  </si>
  <si>
    <t>20/03/2019</t>
  </si>
  <si>
    <t>16/10/2017</t>
  </si>
  <si>
    <t>26/06/2019</t>
  </si>
  <si>
    <t>17/10/2017</t>
  </si>
  <si>
    <t>02/10/2019</t>
  </si>
  <si>
    <t>04/10/2019</t>
  </si>
  <si>
    <t>01/12/2017</t>
  </si>
  <si>
    <t>19/11/2019</t>
  </si>
  <si>
    <t xml:space="preserve">PLAN DE PASSATION DE MARCHES (PPM) DE TRAVAUX </t>
  </si>
  <si>
    <t>Informations Supplémentaires concernant l'acquisition des travaux tel que Pré-qualification ou tout autre arrangement particulier d'acquisition.</t>
  </si>
  <si>
    <t>Mannaie 3</t>
  </si>
  <si>
    <t>15/09/2021</t>
  </si>
  <si>
    <t>Montant Projet Contrat dans Monnaie FCFA HT</t>
  </si>
  <si>
    <t>Audit financier pour la gestion 2021</t>
  </si>
  <si>
    <t>Audit financier pour les gestions 2022, 2023 et 2024</t>
  </si>
  <si>
    <t>21/01/2022</t>
  </si>
  <si>
    <t>29/04/2022</t>
  </si>
  <si>
    <t>AVRIL 2016</t>
  </si>
  <si>
    <t xml:space="preserve">Fourniture et consommable de bureau </t>
  </si>
  <si>
    <t>à postériori</t>
  </si>
  <si>
    <t>MAI 2022 à MAI 2023</t>
  </si>
  <si>
    <t xml:space="preserve">PSC </t>
  </si>
  <si>
    <t xml:space="preserve">PSC : Procédure Simplifiée de  demande de Cotation </t>
  </si>
  <si>
    <t>29/2/2022</t>
  </si>
  <si>
    <t xml:space="preserve">Ouvrage de référence </t>
  </si>
  <si>
    <t>SBQC</t>
  </si>
  <si>
    <t>SMC/CL</t>
  </si>
  <si>
    <t>SBQC/CL</t>
  </si>
  <si>
    <t>30/05/2023</t>
  </si>
  <si>
    <t>Liste Restreinte</t>
  </si>
  <si>
    <t>Dossier d'Appel d'Offres</t>
  </si>
  <si>
    <t>Evaluation des Offres</t>
  </si>
  <si>
    <t>Evaluation
Technique (T) &amp; Financière (F)</t>
  </si>
  <si>
    <t>22/06/2023</t>
  </si>
  <si>
    <t>Montant Estimé dans la monnaie USD</t>
  </si>
  <si>
    <t>Mai 2022- Mai 2023</t>
  </si>
  <si>
    <t>N° Financement :</t>
  </si>
  <si>
    <t>Identification SAP Projet/Programme :</t>
  </si>
  <si>
    <t>Description Projet/Programme :</t>
  </si>
  <si>
    <t>Action Anticipée d'Acquisitions :</t>
  </si>
  <si>
    <t>Janvier 2023 - Décembre 2023</t>
  </si>
  <si>
    <t>Coût Total Travaux</t>
  </si>
  <si>
    <t>01/08/2023</t>
  </si>
  <si>
    <t>26/08/2023</t>
  </si>
  <si>
    <t>04/10/2023</t>
  </si>
  <si>
    <t>08/12/2023</t>
  </si>
  <si>
    <t>N° DAOI / DAON</t>
  </si>
  <si>
    <t>Projet de Marché</t>
  </si>
  <si>
    <t>Signature du marché</t>
  </si>
  <si>
    <t>Désignation</t>
  </si>
  <si>
    <t>Equipements pédagogiques</t>
  </si>
  <si>
    <t>TYPE</t>
  </si>
  <si>
    <t>Ouvr. Réf.</t>
  </si>
  <si>
    <t>Equipements de cuisine et matériels de laboratoire</t>
  </si>
  <si>
    <t>F 53/2023</t>
  </si>
  <si>
    <t>F 54/2023</t>
  </si>
  <si>
    <t>F 52/2023</t>
  </si>
  <si>
    <t>F 51/2023</t>
  </si>
  <si>
    <t>F 50/2023</t>
  </si>
  <si>
    <t>F 05/2024</t>
  </si>
  <si>
    <t>F 04/2023</t>
  </si>
  <si>
    <t>F 03/2023</t>
  </si>
  <si>
    <t>F 02/2023</t>
  </si>
  <si>
    <t>Equipements spécialité : AGRICULTURE</t>
  </si>
  <si>
    <t>Equipements spécialité : ELEVAGE</t>
  </si>
  <si>
    <t>Equipements spécialité : PISCICULTURE</t>
  </si>
  <si>
    <t>Ouvrages de référence pour la bibliothèque</t>
  </si>
  <si>
    <t>Equipements de dortoirs et logements d'astreinte</t>
  </si>
  <si>
    <t>Mobiliers scolaires et de bureaux</t>
  </si>
  <si>
    <t>Matériels informatiques et bureautiques</t>
  </si>
  <si>
    <t>Equipements de moyens généraux, infirmerie et de sport</t>
  </si>
  <si>
    <t>Date Réception Projet contrat</t>
  </si>
  <si>
    <t xml:space="preserve">Bénéficiaire </t>
  </si>
  <si>
    <t>MONTANT CUMULE</t>
  </si>
  <si>
    <t>AUDIT</t>
  </si>
  <si>
    <t>RSP 28 2023</t>
  </si>
  <si>
    <t>Audit 2022 - 2023 - 2024 (Audit de clôture)</t>
  </si>
  <si>
    <t>Titulaire</t>
  </si>
  <si>
    <t>ARTIS</t>
  </si>
  <si>
    <t>COCOSOL</t>
  </si>
  <si>
    <t>Gpmt CBS / SPRO BTP</t>
  </si>
  <si>
    <t>CICIT</t>
  </si>
  <si>
    <t>JUST HUSS</t>
  </si>
  <si>
    <t>BSE</t>
  </si>
  <si>
    <t>LIBRAIRIE DE France GROUPE</t>
  </si>
  <si>
    <t>YZAS BAKERTILLY</t>
  </si>
  <si>
    <t>Intitulé des fournitures</t>
  </si>
  <si>
    <t>Montant Contrat (en F CFA HT)</t>
  </si>
  <si>
    <t>Tableau 1 : SUIVI DE LA PASSATION DES MARCHES D'ACQUISITION DE BIENS DU PROJET CFP BOUNA</t>
  </si>
  <si>
    <t>Résilié</t>
  </si>
  <si>
    <t>14/01/2024</t>
  </si>
  <si>
    <r>
      <t>Travaux de construction tous corps de quarante-deux (42) batiments : Première partie ( travaux restants) -</t>
    </r>
    <r>
      <rPr>
        <b/>
        <sz val="11"/>
        <rFont val="Aptos Narrow"/>
        <family val="2"/>
      </rPr>
      <t xml:space="preserve"> LOT 1 (Travaux de construction et achèvement de dix-huit (18) bâtiments à Bouna</t>
    </r>
  </si>
  <si>
    <r>
      <t xml:space="preserve">Travaux de construction tous corps de quarante-deux (42) batiments : Première partie ( travaux restants) - </t>
    </r>
    <r>
      <rPr>
        <b/>
        <sz val="11"/>
        <rFont val="Aptos Narrow"/>
        <family val="2"/>
      </rPr>
      <t>LOT 2 (Travaux de construction et achèvement de douze (12) bâtiments à Bouna</t>
    </r>
  </si>
  <si>
    <r>
      <t xml:space="preserve">Travaux de construction tous corps de quarante-deux (42) batiments : Première partie ( travaux restants) - </t>
    </r>
    <r>
      <rPr>
        <b/>
        <sz val="11"/>
        <rFont val="Aptos Narrow"/>
        <family val="2"/>
      </rPr>
      <t xml:space="preserve">LOT 3 (Travaux de construction et achèvement de quatre (04) bâtiments à Bouna </t>
    </r>
  </si>
  <si>
    <r>
      <rPr>
        <sz val="12"/>
        <rFont val="Aptos Display"/>
        <family val="2"/>
      </rPr>
      <t>Equipement et matériels pédagogiques y compris équipements de cuisine</t>
    </r>
    <r>
      <rPr>
        <b/>
        <sz val="12"/>
        <rFont val="Aptos Display"/>
        <family val="2"/>
      </rPr>
      <t xml:space="preserve"> (Lot 1 : Equipements spécialité Agriculture)</t>
    </r>
  </si>
  <si>
    <r>
      <rPr>
        <sz val="12"/>
        <rFont val="Aptos Display"/>
        <family val="2"/>
      </rPr>
      <t>Equipement et matériels pédagogiques y compris équipements de cuisine</t>
    </r>
    <r>
      <rPr>
        <b/>
        <sz val="12"/>
        <rFont val="Aptos Display"/>
        <family val="2"/>
      </rPr>
      <t xml:space="preserve"> (Lot 2 : Equipements spécialité Elevage)</t>
    </r>
  </si>
  <si>
    <r>
      <rPr>
        <sz val="12"/>
        <rFont val="Aptos Display"/>
        <family val="2"/>
      </rPr>
      <t>Equipement et matériels pédagogiques y compris équipements de cuisine</t>
    </r>
    <r>
      <rPr>
        <b/>
        <sz val="12"/>
        <rFont val="Aptos Display"/>
        <family val="2"/>
      </rPr>
      <t xml:space="preserve"> (Lot 3 : Equipements spécialité Pisciculture)</t>
    </r>
  </si>
  <si>
    <r>
      <rPr>
        <sz val="12"/>
        <rFont val="Aptos Display"/>
        <family val="2"/>
      </rPr>
      <t xml:space="preserve">Equipement et matériels pédagogiques y compris équipements de cuisine </t>
    </r>
    <r>
      <rPr>
        <b/>
        <sz val="12"/>
        <rFont val="Aptos Display"/>
        <family val="2"/>
      </rPr>
      <t>(Lot 4 : Equipements de cuisine et matériels de laboratoire)</t>
    </r>
  </si>
  <si>
    <r>
      <t xml:space="preserve">Mobiliers, équipements et matériels non pédagogiques et équipements informatiques et technologie </t>
    </r>
    <r>
      <rPr>
        <b/>
        <sz val="12"/>
        <rFont val="Aptos Display"/>
        <family val="2"/>
      </rPr>
      <t>(Lot 1 : Matériels informatiques et bureautiques)</t>
    </r>
  </si>
  <si>
    <r>
      <t xml:space="preserve">Mobiliers, équipements et matériels non pédagogiques et équipements informatiques et technologie </t>
    </r>
    <r>
      <rPr>
        <b/>
        <sz val="12"/>
        <rFont val="Aptos Display"/>
        <family val="2"/>
      </rPr>
      <t>(Lot 2 : Equipements de moyens généraux, infirmerie et de sport)</t>
    </r>
  </si>
  <si>
    <r>
      <t xml:space="preserve">Mobiliers, équipements et matériels non pédagogiques et équipements informatiques et technologie </t>
    </r>
    <r>
      <rPr>
        <b/>
        <sz val="12"/>
        <rFont val="Aptos Display"/>
        <family val="2"/>
      </rPr>
      <t>(Lot 3 : Equipements de dortoirs et logements d'astreinte)</t>
    </r>
  </si>
  <si>
    <r>
      <t xml:space="preserve">Mobiliers, équipements et matériels non pédagogiques et équipements informatiques et technologie </t>
    </r>
    <r>
      <rPr>
        <b/>
        <sz val="12"/>
        <rFont val="Aptos Display"/>
        <family val="2"/>
      </rPr>
      <t>(Lot 4 : Mobiliers scolaires et de bureaux)</t>
    </r>
  </si>
  <si>
    <r>
      <t xml:space="preserve">Travaux de construction tous corps de quarante-deux (42) batiments : Première partie ( travaux restants) - </t>
    </r>
    <r>
      <rPr>
        <b/>
        <sz val="11"/>
        <rFont val="Aptos Narrow"/>
        <family val="2"/>
      </rPr>
      <t>(Lot 4 : Travaux de construction de huit (08) bâtiments à Bouna)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</si>
</sst>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64" formatCode="_(* #,##0.00_);_(* \(#,##0.00\);_(* &quot;-&quot;??_);_(@_)"/>
    <numFmt numFmtId="165" formatCode="_([$€]* #,##0.00_);_([$€]* \(#,##0.00\);_([$€]* &quot;-&quot;??_);_(@_)"/>
    <numFmt numFmtId="166" formatCode="_(* #,##0_);_(* \(#,##0\);_(* &quot;-&quot;??_);_(@_)"/>
    <numFmt numFmtId="167" formatCode="dd/mm/yy;@"/>
    <numFmt numFmtId="168" formatCode="#,##0\ _€"/>
    <numFmt numFmtId="169" formatCode="#,##0\ _€;[Red]#,##0\ _€"/>
  </numFmts>
  <fonts count="88" x14ac:knownFonts="1">
    <font>
      <sz val="10"/>
      <name val="Arial"/>
    </font>
    <font>
      <sz val="10"/>
      <name val="Arial"/>
      <family val="2"/>
    </font>
    <font>
      <sz val="12"/>
      <name val="Times New Roman"/>
      <family val="1"/>
    </font>
    <font>
      <sz val="10"/>
      <name val="Ebrima"/>
    </font>
    <font>
      <b/>
      <sz val="10"/>
      <name val="Ebrima"/>
    </font>
    <font>
      <sz val="11"/>
      <name val="Ebrima"/>
    </font>
    <font>
      <b/>
      <sz val="11"/>
      <name val="Ebrima"/>
    </font>
    <font>
      <sz val="11"/>
      <color rgb="FFFF0000"/>
      <name val="Ebrima"/>
    </font>
    <font>
      <b/>
      <sz val="9"/>
      <name val="Ebrima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Aptos Narrow"/>
      <family val="2"/>
    </font>
    <font>
      <b/>
      <sz val="11"/>
      <name val="Aptos Narrow"/>
      <family val="2"/>
    </font>
    <font>
      <b/>
      <i/>
      <sz val="11"/>
      <name val="Aptos Narrow"/>
      <family val="2"/>
    </font>
    <font>
      <sz val="11"/>
      <name val="Aptos Display"/>
      <family val="2"/>
    </font>
    <font>
      <b/>
      <i/>
      <sz val="10"/>
      <name val="Aptos Display"/>
      <family val="2"/>
    </font>
    <font>
      <b/>
      <sz val="10"/>
      <name val="Aptos Display"/>
      <family val="2"/>
    </font>
    <font>
      <b/>
      <sz val="11"/>
      <name val="Aptos Display"/>
      <family val="2"/>
    </font>
    <font>
      <b/>
      <i/>
      <sz val="11"/>
      <name val="Aptos Display"/>
      <family val="2"/>
    </font>
    <font>
      <sz val="10"/>
      <name val="Aptos Display"/>
      <family val="2"/>
    </font>
    <font>
      <b/>
      <sz val="11"/>
      <color indexed="10"/>
      <name val="Ebrima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b/>
      <sz val="11"/>
      <color rgb="FFFF0000"/>
      <name val="Aptos Narrow"/>
      <family val="2"/>
    </font>
    <font>
      <sz val="11"/>
      <color rgb="FF00B050"/>
      <name val="Aptos Narrow"/>
      <family val="2"/>
    </font>
    <font>
      <sz val="11"/>
      <color indexed="8"/>
      <name val="Aptos Narrow"/>
      <family val="2"/>
    </font>
    <font>
      <b/>
      <sz val="11"/>
      <color rgb="FF00B050"/>
      <name val="Aptos Narrow"/>
      <family val="2"/>
    </font>
    <font>
      <b/>
      <sz val="12"/>
      <color theme="3"/>
      <name val="Aptos Narrow"/>
      <family val="2"/>
    </font>
    <font>
      <sz val="12"/>
      <color theme="3"/>
      <name val="Aptos Narrow"/>
      <family val="2"/>
    </font>
    <font>
      <b/>
      <sz val="9"/>
      <color rgb="FFFF0000"/>
      <name val="Ebrima"/>
    </font>
    <font>
      <b/>
      <sz val="10"/>
      <color theme="1"/>
      <name val="Aptos Display"/>
      <family val="2"/>
    </font>
    <font>
      <sz val="12"/>
      <name val="Aptos Display"/>
      <family val="2"/>
    </font>
    <font>
      <b/>
      <sz val="14"/>
      <name val="Aptos Display"/>
      <family val="2"/>
    </font>
    <font>
      <sz val="14"/>
      <name val="Aptos Display"/>
      <family val="2"/>
    </font>
    <font>
      <b/>
      <sz val="10"/>
      <color indexed="10"/>
      <name val="Aptos Display"/>
      <family val="2"/>
    </font>
    <font>
      <b/>
      <sz val="12"/>
      <color theme="3"/>
      <name val="Aptos Display"/>
      <family val="2"/>
    </font>
    <font>
      <sz val="12"/>
      <color theme="3"/>
      <name val="Aptos Display"/>
      <family val="2"/>
    </font>
    <font>
      <b/>
      <sz val="12"/>
      <name val="Aptos Display"/>
      <family val="2"/>
    </font>
    <font>
      <sz val="12"/>
      <color rgb="FF000000"/>
      <name val="Aptos Display"/>
      <family val="2"/>
    </font>
    <font>
      <sz val="12"/>
      <color rgb="FFFF0000"/>
      <name val="Aptos Display"/>
      <family val="2"/>
    </font>
    <font>
      <sz val="10"/>
      <color rgb="FFFF0000"/>
      <name val="Aptos Display"/>
      <family val="2"/>
    </font>
    <font>
      <b/>
      <sz val="10"/>
      <color rgb="FFFF0000"/>
      <name val="Aptos Display"/>
      <family val="2"/>
    </font>
    <font>
      <b/>
      <sz val="10"/>
      <color rgb="FF00B050"/>
      <name val="Aptos Display"/>
      <family val="2"/>
    </font>
    <font>
      <sz val="11"/>
      <color rgb="FFFF0000"/>
      <name val="Aptos Display"/>
      <family val="2"/>
    </font>
    <font>
      <i/>
      <sz val="11"/>
      <name val="Aptos Display"/>
      <family val="2"/>
    </font>
    <font>
      <i/>
      <sz val="10"/>
      <name val="Aptos Display"/>
      <family val="2"/>
    </font>
    <font>
      <i/>
      <sz val="12"/>
      <name val="Aptos Display"/>
      <family val="2"/>
    </font>
    <font>
      <sz val="12"/>
      <color indexed="8"/>
      <name val="Aptos Display"/>
      <family val="2"/>
    </font>
    <font>
      <sz val="12"/>
      <name val="Aptos Narrow"/>
      <family val="2"/>
    </font>
    <font>
      <b/>
      <sz val="14"/>
      <name val="Aptos Narrow"/>
      <family val="2"/>
    </font>
    <font>
      <b/>
      <sz val="11"/>
      <color indexed="10"/>
      <name val="Aptos Narrow"/>
      <family val="2"/>
    </font>
    <font>
      <sz val="11"/>
      <color indexed="9"/>
      <name val="Aptos Narrow"/>
      <family val="2"/>
    </font>
    <font>
      <sz val="12"/>
      <color rgb="FFFF0000"/>
      <name val="Aptos Narrow"/>
      <family val="2"/>
    </font>
    <font>
      <b/>
      <u/>
      <sz val="20"/>
      <color rgb="FFFF0000"/>
      <name val="Aptos Narrow"/>
      <family val="2"/>
    </font>
    <font>
      <b/>
      <u/>
      <sz val="11"/>
      <color rgb="FFFF0000"/>
      <name val="Aptos Narrow"/>
      <family val="2"/>
    </font>
    <font>
      <i/>
      <sz val="11"/>
      <name val="Aptos Narrow"/>
      <family val="2"/>
    </font>
    <font>
      <sz val="11"/>
      <color theme="1"/>
      <name val="Aptos Narrow"/>
      <family val="2"/>
    </font>
    <font>
      <b/>
      <sz val="11"/>
      <color theme="3"/>
      <name val="Aptos"/>
      <family val="2"/>
    </font>
    <font>
      <sz val="11"/>
      <name val="Aptos"/>
      <family val="2"/>
    </font>
    <font>
      <b/>
      <sz val="11"/>
      <name val="Aptos"/>
      <family val="2"/>
    </font>
    <font>
      <sz val="12"/>
      <name val="Aptos"/>
      <family val="2"/>
    </font>
    <font>
      <b/>
      <sz val="12"/>
      <name val="Aptos"/>
      <family val="2"/>
    </font>
    <font>
      <sz val="11"/>
      <color rgb="FFFF0000"/>
      <name val="Aptos"/>
      <family val="2"/>
    </font>
    <font>
      <b/>
      <sz val="11"/>
      <color rgb="FFFF0000"/>
      <name val="Aptos"/>
      <family val="2"/>
    </font>
    <font>
      <b/>
      <i/>
      <sz val="12"/>
      <name val="Aptos Display"/>
      <family val="2"/>
    </font>
    <font>
      <sz val="10"/>
      <name val="Aptos"/>
      <family val="2"/>
    </font>
    <font>
      <sz val="9"/>
      <name val="Aptos"/>
      <family val="2"/>
    </font>
    <font>
      <b/>
      <sz val="9"/>
      <name val="Aptos"/>
      <family val="2"/>
    </font>
    <font>
      <b/>
      <sz val="10"/>
      <name val="Aptos"/>
      <family val="2"/>
    </font>
    <font>
      <sz val="8"/>
      <name val="Arial"/>
      <family val="2"/>
    </font>
    <font>
      <b/>
      <u/>
      <sz val="14"/>
      <name val="Aptos"/>
      <family val="2"/>
    </font>
    <font>
      <sz val="10.5"/>
      <name val="Aptos"/>
      <family val="2"/>
    </font>
    <font>
      <b/>
      <sz val="11"/>
      <color theme="0"/>
      <name val="Aptos"/>
      <family val="2"/>
    </font>
    <font>
      <b/>
      <sz val="9"/>
      <name val="Aptos Narrow"/>
      <family val="2"/>
    </font>
    <font>
      <b/>
      <sz val="14"/>
      <name val="Ebrima"/>
    </font>
    <font>
      <sz val="13"/>
      <color rgb="FFFF0000"/>
      <name val="Aptos Narrow"/>
      <family val="2"/>
    </font>
    <font>
      <sz val="13"/>
      <name val="Aptos Narrow"/>
      <family val="2"/>
    </font>
    <font>
      <sz val="13"/>
      <color rgb="FF00B0F0"/>
      <name val="Aptos Narrow"/>
      <family val="2"/>
    </font>
    <font>
      <sz val="13"/>
      <color rgb="FF00B050"/>
      <name val="Aptos Narrow"/>
      <family val="2"/>
    </font>
    <font>
      <b/>
      <sz val="13"/>
      <name val="Aptos Narrow"/>
      <family val="2"/>
    </font>
    <font>
      <b/>
      <sz val="13"/>
      <color rgb="FFFF0000"/>
      <name val="Aptos Narrow"/>
      <family val="2"/>
    </font>
    <font>
      <b/>
      <sz val="13"/>
      <color rgb="FF00B050"/>
      <name val="Aptos Narrow"/>
      <family val="2"/>
    </font>
    <font>
      <b/>
      <sz val="18"/>
      <name val="Aptos Narrow"/>
      <family val="2"/>
    </font>
    <font>
      <sz val="14"/>
      <color rgb="FFFF0000"/>
      <name val="Aptos Display"/>
      <family val="2"/>
    </font>
    <font>
      <b/>
      <sz val="14"/>
      <color theme="1"/>
      <name val="Aptos Display"/>
      <family val="2"/>
    </font>
    <font>
      <sz val="14"/>
      <color rgb="FFFF0000"/>
      <name val="Aptos Narrow"/>
      <family val="2"/>
    </font>
    <font>
      <b/>
      <sz val="13"/>
      <name val="Aptos"/>
      <family val="2"/>
    </font>
    <font>
      <b/>
      <sz val="18"/>
      <name val="Aptos Display"/>
      <family val="2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11">
    <xf numFmtId="0" fontId="0" fillId="0" borderId="0" xfId="0"/>
    <xf numFmtId="49" fontId="5" fillId="0" borderId="0" xfId="0" applyNumberFormat="1" applyFont="1"/>
    <xf numFmtId="49" fontId="5" fillId="0" borderId="0" xfId="0" applyNumberFormat="1" applyFont="1" applyAlignment="1">
      <alignment vertical="center"/>
    </xf>
    <xf numFmtId="49" fontId="7" fillId="0" borderId="0" xfId="0" applyNumberFormat="1" applyFont="1"/>
    <xf numFmtId="49" fontId="3" fillId="0" borderId="0" xfId="0" applyNumberFormat="1" applyFont="1"/>
    <xf numFmtId="49" fontId="6" fillId="0" borderId="0" xfId="0" applyNumberFormat="1" applyFont="1" applyAlignment="1">
      <alignment horizontal="center"/>
    </xf>
    <xf numFmtId="49" fontId="14" fillId="0" borderId="0" xfId="0" applyNumberFormat="1" applyFont="1" applyAlignment="1">
      <alignment wrapText="1"/>
    </xf>
    <xf numFmtId="49" fontId="15" fillId="0" borderId="0" xfId="0" applyNumberFormat="1" applyFont="1" applyAlignment="1">
      <alignment horizontal="left" wrapText="1"/>
    </xf>
    <xf numFmtId="49" fontId="16" fillId="0" borderId="2" xfId="0" applyNumberFormat="1" applyFont="1" applyBorder="1" applyAlignment="1">
      <alignment horizontal="left" vertical="center" wrapText="1"/>
    </xf>
    <xf numFmtId="49" fontId="16" fillId="0" borderId="2" xfId="0" applyNumberFormat="1" applyFont="1" applyBorder="1" applyAlignment="1">
      <alignment vertical="center" wrapText="1"/>
    </xf>
    <xf numFmtId="49" fontId="17" fillId="0" borderId="0" xfId="0" applyNumberFormat="1" applyFont="1" applyAlignment="1">
      <alignment wrapText="1"/>
    </xf>
    <xf numFmtId="49" fontId="18" fillId="0" borderId="0" xfId="0" applyNumberFormat="1" applyFont="1" applyAlignment="1">
      <alignment wrapText="1"/>
    </xf>
    <xf numFmtId="49" fontId="16" fillId="7" borderId="5" xfId="0" applyNumberFormat="1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center" vertical="center" wrapText="1"/>
    </xf>
    <xf numFmtId="49" fontId="19" fillId="0" borderId="2" xfId="0" applyNumberFormat="1" applyFont="1" applyBorder="1" applyAlignment="1">
      <alignment wrapText="1"/>
    </xf>
    <xf numFmtId="49" fontId="14" fillId="0" borderId="15" xfId="0" applyNumberFormat="1" applyFont="1" applyBorder="1" applyAlignment="1">
      <alignment horizontal="left" vertical="center" wrapText="1"/>
    </xf>
    <xf numFmtId="49" fontId="11" fillId="0" borderId="0" xfId="0" applyNumberFormat="1" applyFont="1"/>
    <xf numFmtId="49" fontId="12" fillId="0" borderId="0" xfId="0" applyNumberFormat="1" applyFont="1"/>
    <xf numFmtId="49" fontId="11" fillId="0" borderId="0" xfId="0" applyNumberFormat="1" applyFont="1" applyAlignment="1">
      <alignment horizontal="center"/>
    </xf>
    <xf numFmtId="49" fontId="11" fillId="0" borderId="0" xfId="0" applyNumberFormat="1" applyFont="1" applyProtection="1">
      <protection locked="0"/>
    </xf>
    <xf numFmtId="49" fontId="13" fillId="0" borderId="0" xfId="0" applyNumberFormat="1" applyFont="1"/>
    <xf numFmtId="49" fontId="11" fillId="0" borderId="15" xfId="0" applyNumberFormat="1" applyFont="1" applyBorder="1"/>
    <xf numFmtId="49" fontId="12" fillId="0" borderId="15" xfId="0" applyNumberFormat="1" applyFont="1" applyBorder="1"/>
    <xf numFmtId="3" fontId="12" fillId="2" borderId="2" xfId="0" applyNumberFormat="1" applyFont="1" applyFill="1" applyBorder="1" applyAlignment="1" applyProtection="1">
      <alignment horizontal="center"/>
      <protection locked="0"/>
    </xf>
    <xf numFmtId="49" fontId="20" fillId="0" borderId="0" xfId="0" applyNumberFormat="1" applyFont="1"/>
    <xf numFmtId="49" fontId="12" fillId="7" borderId="2" xfId="0" applyNumberFormat="1" applyFont="1" applyFill="1" applyBorder="1" applyAlignment="1">
      <alignment horizontal="center" vertical="center"/>
    </xf>
    <xf numFmtId="0" fontId="21" fillId="0" borderId="0" xfId="0" applyFont="1"/>
    <xf numFmtId="49" fontId="11" fillId="0" borderId="6" xfId="0" applyNumberFormat="1" applyFont="1" applyBorder="1"/>
    <xf numFmtId="49" fontId="11" fillId="0" borderId="2" xfId="0" applyNumberFormat="1" applyFont="1" applyBorder="1"/>
    <xf numFmtId="49" fontId="12" fillId="7" borderId="2" xfId="0" applyNumberFormat="1" applyFont="1" applyFill="1" applyBorder="1" applyAlignment="1">
      <alignment vertical="top"/>
    </xf>
    <xf numFmtId="49" fontId="12" fillId="7" borderId="10" xfId="0" applyNumberFormat="1" applyFont="1" applyFill="1" applyBorder="1" applyAlignment="1">
      <alignment vertical="top" wrapText="1"/>
    </xf>
    <xf numFmtId="49" fontId="12" fillId="7" borderId="3" xfId="0" applyNumberFormat="1" applyFont="1" applyFill="1" applyBorder="1" applyAlignment="1">
      <alignment vertical="top" wrapText="1"/>
    </xf>
    <xf numFmtId="14" fontId="22" fillId="5" borderId="2" xfId="0" applyNumberFormat="1" applyFont="1" applyFill="1" applyBorder="1" applyAlignment="1">
      <alignment horizontal="center" vertical="center" wrapText="1"/>
    </xf>
    <xf numFmtId="49" fontId="11" fillId="2" borderId="2" xfId="0" applyNumberFormat="1" applyFont="1" applyFill="1" applyBorder="1" applyAlignment="1" applyProtection="1">
      <alignment horizontal="center" vertical="center"/>
      <protection locked="0"/>
    </xf>
    <xf numFmtId="49" fontId="22" fillId="2" borderId="2" xfId="0" applyNumberFormat="1" applyFont="1" applyFill="1" applyBorder="1" applyAlignment="1" applyProtection="1">
      <alignment horizontal="center" vertical="center"/>
      <protection locked="0"/>
    </xf>
    <xf numFmtId="49" fontId="22" fillId="2" borderId="2" xfId="0" applyNumberFormat="1" applyFont="1" applyFill="1" applyBorder="1" applyAlignment="1" applyProtection="1">
      <alignment vertical="center"/>
      <protection locked="0"/>
    </xf>
    <xf numFmtId="49" fontId="22" fillId="7" borderId="2" xfId="0" applyNumberFormat="1" applyFont="1" applyFill="1" applyBorder="1" applyAlignment="1">
      <alignment horizontal="center" wrapText="1"/>
    </xf>
    <xf numFmtId="14" fontId="22" fillId="2" borderId="2" xfId="0" applyNumberFormat="1" applyFont="1" applyFill="1" applyBorder="1" applyAlignment="1" applyProtection="1">
      <alignment horizontal="center" vertical="center"/>
      <protection locked="0"/>
    </xf>
    <xf numFmtId="49" fontId="22" fillId="2" borderId="2" xfId="0" applyNumberFormat="1" applyFont="1" applyFill="1" applyBorder="1" applyAlignment="1">
      <alignment horizontal="center" vertical="center"/>
    </xf>
    <xf numFmtId="14" fontId="22" fillId="2" borderId="2" xfId="0" applyNumberFormat="1" applyFont="1" applyFill="1" applyBorder="1" applyAlignment="1">
      <alignment horizontal="center" vertical="center"/>
    </xf>
    <xf numFmtId="49" fontId="22" fillId="2" borderId="2" xfId="0" applyNumberFormat="1" applyFont="1" applyFill="1" applyBorder="1" applyProtection="1">
      <protection locked="0"/>
    </xf>
    <xf numFmtId="14" fontId="24" fillId="2" borderId="2" xfId="0" applyNumberFormat="1" applyFont="1" applyFill="1" applyBorder="1" applyAlignment="1">
      <alignment horizontal="center" vertical="center"/>
    </xf>
    <xf numFmtId="14" fontId="25" fillId="5" borderId="2" xfId="0" applyNumberFormat="1" applyFont="1" applyFill="1" applyBorder="1" applyAlignment="1">
      <alignment horizontal="center" vertical="center" wrapText="1"/>
    </xf>
    <xf numFmtId="49" fontId="11" fillId="2" borderId="2" xfId="0" applyNumberFormat="1" applyFont="1" applyFill="1" applyBorder="1" applyAlignment="1" applyProtection="1">
      <alignment vertical="center"/>
      <protection locked="0"/>
    </xf>
    <xf numFmtId="49" fontId="11" fillId="2" borderId="2" xfId="0" applyNumberFormat="1" applyFont="1" applyFill="1" applyBorder="1" applyAlignment="1">
      <alignment horizontal="center" vertical="center"/>
    </xf>
    <xf numFmtId="49" fontId="11" fillId="3" borderId="2" xfId="0" applyNumberFormat="1" applyFont="1" applyFill="1" applyBorder="1"/>
    <xf numFmtId="49" fontId="11" fillId="3" borderId="2" xfId="0" applyNumberFormat="1" applyFont="1" applyFill="1" applyBorder="1" applyAlignment="1">
      <alignment vertical="center"/>
    </xf>
    <xf numFmtId="4" fontId="11" fillId="3" borderId="2" xfId="0" applyNumberFormat="1" applyFont="1" applyFill="1" applyBorder="1" applyAlignment="1">
      <alignment vertical="center"/>
    </xf>
    <xf numFmtId="4" fontId="11" fillId="3" borderId="2" xfId="0" applyNumberFormat="1" applyFont="1" applyFill="1" applyBorder="1"/>
    <xf numFmtId="49" fontId="22" fillId="7" borderId="2" xfId="0" applyNumberFormat="1" applyFont="1" applyFill="1" applyBorder="1" applyAlignment="1">
      <alignment horizontal="center" vertical="center" wrapText="1"/>
    </xf>
    <xf numFmtId="14" fontId="24" fillId="2" borderId="2" xfId="0" applyNumberFormat="1" applyFont="1" applyFill="1" applyBorder="1" applyAlignment="1" applyProtection="1">
      <alignment horizontal="center" vertical="center"/>
      <protection locked="0"/>
    </xf>
    <xf numFmtId="14" fontId="11" fillId="2" borderId="2" xfId="0" applyNumberFormat="1" applyFont="1" applyFill="1" applyBorder="1" applyAlignment="1" applyProtection="1">
      <alignment horizontal="center" vertical="center"/>
      <protection locked="0"/>
    </xf>
    <xf numFmtId="14" fontId="11" fillId="2" borderId="2" xfId="0" applyNumberFormat="1" applyFont="1" applyFill="1" applyBorder="1" applyAlignment="1">
      <alignment horizontal="center" vertical="center"/>
    </xf>
    <xf numFmtId="49" fontId="11" fillId="7" borderId="2" xfId="0" applyNumberFormat="1" applyFont="1" applyFill="1" applyBorder="1"/>
    <xf numFmtId="14" fontId="22" fillId="2" borderId="2" xfId="0" applyNumberFormat="1" applyFont="1" applyFill="1" applyBorder="1"/>
    <xf numFmtId="49" fontId="11" fillId="5" borderId="2" xfId="0" applyNumberFormat="1" applyFont="1" applyFill="1" applyBorder="1" applyAlignment="1">
      <alignment horizontal="center" vertical="center"/>
    </xf>
    <xf numFmtId="49" fontId="11" fillId="5" borderId="2" xfId="0" applyNumberFormat="1" applyFont="1" applyFill="1" applyBorder="1" applyAlignment="1">
      <alignment horizontal="center"/>
    </xf>
    <xf numFmtId="49" fontId="11" fillId="5" borderId="2" xfId="0" applyNumberFormat="1" applyFont="1" applyFill="1" applyBorder="1"/>
    <xf numFmtId="49" fontId="22" fillId="5" borderId="2" xfId="0" applyNumberFormat="1" applyFont="1" applyFill="1" applyBorder="1" applyAlignment="1">
      <alignment vertical="center"/>
    </xf>
    <xf numFmtId="49" fontId="22" fillId="5" borderId="2" xfId="0" applyNumberFormat="1" applyFont="1" applyFill="1" applyBorder="1"/>
    <xf numFmtId="49" fontId="11" fillId="3" borderId="5" xfId="0" applyNumberFormat="1" applyFont="1" applyFill="1" applyBorder="1"/>
    <xf numFmtId="49" fontId="22" fillId="7" borderId="6" xfId="0" applyNumberFormat="1" applyFont="1" applyFill="1" applyBorder="1" applyAlignment="1">
      <alignment horizontal="center" wrapText="1"/>
    </xf>
    <xf numFmtId="49" fontId="26" fillId="5" borderId="2" xfId="0" applyNumberFormat="1" applyFont="1" applyFill="1" applyBorder="1" applyAlignment="1">
      <alignment horizontal="center"/>
    </xf>
    <xf numFmtId="14" fontId="11" fillId="5" borderId="2" xfId="0" applyNumberFormat="1" applyFont="1" applyFill="1" applyBorder="1" applyAlignment="1" applyProtection="1">
      <alignment horizontal="center" vertical="center"/>
      <protection locked="0"/>
    </xf>
    <xf numFmtId="14" fontId="11" fillId="5" borderId="2" xfId="0" applyNumberFormat="1" applyFont="1" applyFill="1" applyBorder="1" applyAlignment="1">
      <alignment horizontal="center"/>
    </xf>
    <xf numFmtId="14" fontId="11" fillId="5" borderId="2" xfId="0" applyNumberFormat="1" applyFont="1" applyFill="1" applyBorder="1"/>
    <xf numFmtId="14" fontId="26" fillId="5" borderId="2" xfId="0" applyNumberFormat="1" applyFont="1" applyFill="1" applyBorder="1" applyAlignment="1">
      <alignment horizontal="center"/>
    </xf>
    <xf numFmtId="14" fontId="26" fillId="5" borderId="2" xfId="0" applyNumberFormat="1" applyFont="1" applyFill="1" applyBorder="1" applyAlignment="1">
      <alignment horizontal="center" vertical="center"/>
    </xf>
    <xf numFmtId="14" fontId="26" fillId="5" borderId="22" xfId="0" applyNumberFormat="1" applyFont="1" applyFill="1" applyBorder="1" applyAlignment="1">
      <alignment horizontal="center"/>
    </xf>
    <xf numFmtId="14" fontId="22" fillId="5" borderId="1" xfId="0" applyNumberFormat="1" applyFont="1" applyFill="1" applyBorder="1" applyAlignment="1">
      <alignment horizontal="center" vertical="center"/>
    </xf>
    <xf numFmtId="14" fontId="23" fillId="5" borderId="1" xfId="0" applyNumberFormat="1" applyFont="1" applyFill="1" applyBorder="1" applyAlignment="1">
      <alignment horizontal="center" wrapText="1"/>
    </xf>
    <xf numFmtId="14" fontId="23" fillId="5" borderId="1" xfId="0" applyNumberFormat="1" applyFont="1" applyFill="1" applyBorder="1" applyAlignment="1">
      <alignment horizontal="center"/>
    </xf>
    <xf numFmtId="14" fontId="23" fillId="5" borderId="1" xfId="0" applyNumberFormat="1" applyFont="1" applyFill="1" applyBorder="1" applyAlignment="1">
      <alignment horizontal="center" vertical="center"/>
    </xf>
    <xf numFmtId="14" fontId="11" fillId="5" borderId="2" xfId="0" applyNumberFormat="1" applyFont="1" applyFill="1" applyBorder="1" applyAlignment="1">
      <alignment horizontal="center" vertical="center"/>
    </xf>
    <xf numFmtId="14" fontId="12" fillId="5" borderId="2" xfId="0" applyNumberFormat="1" applyFont="1" applyFill="1" applyBorder="1" applyAlignment="1">
      <alignment horizontal="center" vertical="center"/>
    </xf>
    <xf numFmtId="14" fontId="12" fillId="5" borderId="2" xfId="0" applyNumberFormat="1" applyFont="1" applyFill="1" applyBorder="1" applyAlignment="1" applyProtection="1">
      <alignment horizontal="center" vertical="center"/>
      <protection locked="0"/>
    </xf>
    <xf numFmtId="14" fontId="12" fillId="5" borderId="2" xfId="0" applyNumberFormat="1" applyFont="1" applyFill="1" applyBorder="1" applyAlignment="1">
      <alignment horizontal="center"/>
    </xf>
    <xf numFmtId="49" fontId="11" fillId="7" borderId="2" xfId="0" applyNumberFormat="1" applyFont="1" applyFill="1" applyBorder="1" applyAlignment="1">
      <alignment horizontal="center" wrapText="1"/>
    </xf>
    <xf numFmtId="37" fontId="11" fillId="3" borderId="2" xfId="0" applyNumberFormat="1" applyFont="1" applyFill="1" applyBorder="1"/>
    <xf numFmtId="37" fontId="11" fillId="3" borderId="5" xfId="0" applyNumberFormat="1" applyFont="1" applyFill="1" applyBorder="1"/>
    <xf numFmtId="14" fontId="23" fillId="5" borderId="2" xfId="0" applyNumberFormat="1" applyFont="1" applyFill="1" applyBorder="1" applyAlignment="1">
      <alignment horizontal="center"/>
    </xf>
    <xf numFmtId="49" fontId="11" fillId="3" borderId="9" xfId="0" applyNumberFormat="1" applyFont="1" applyFill="1" applyBorder="1"/>
    <xf numFmtId="14" fontId="22" fillId="5" borderId="2" xfId="0" applyNumberFormat="1" applyFont="1" applyFill="1" applyBorder="1" applyAlignment="1" applyProtection="1">
      <alignment horizontal="center" vertical="center"/>
      <protection locked="0"/>
    </xf>
    <xf numFmtId="49" fontId="12" fillId="5" borderId="2" xfId="0" applyNumberFormat="1" applyFont="1" applyFill="1" applyBorder="1" applyAlignment="1" applyProtection="1">
      <alignment horizontal="center" vertical="center"/>
      <protection locked="0"/>
    </xf>
    <xf numFmtId="49" fontId="27" fillId="8" borderId="6" xfId="0" applyNumberFormat="1" applyFont="1" applyFill="1" applyBorder="1"/>
    <xf numFmtId="49" fontId="27" fillId="8" borderId="10" xfId="0" applyNumberFormat="1" applyFont="1" applyFill="1" applyBorder="1"/>
    <xf numFmtId="49" fontId="28" fillId="8" borderId="10" xfId="0" applyNumberFormat="1" applyFont="1" applyFill="1" applyBorder="1"/>
    <xf numFmtId="49" fontId="28" fillId="8" borderId="3" xfId="0" applyNumberFormat="1" applyFont="1" applyFill="1" applyBorder="1"/>
    <xf numFmtId="49" fontId="27" fillId="8" borderId="14" xfId="0" applyNumberFormat="1" applyFont="1" applyFill="1" applyBorder="1"/>
    <xf numFmtId="49" fontId="27" fillId="8" borderId="4" xfId="0" applyNumberFormat="1" applyFont="1" applyFill="1" applyBorder="1"/>
    <xf numFmtId="49" fontId="4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49" fontId="2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15" fillId="0" borderId="6" xfId="0" applyNumberFormat="1" applyFont="1" applyBorder="1" applyAlignment="1">
      <alignment horizontal="left" vertical="center" wrapText="1"/>
    </xf>
    <xf numFmtId="49" fontId="16" fillId="7" borderId="9" xfId="0" applyNumberFormat="1" applyFont="1" applyFill="1" applyBorder="1" applyAlignment="1">
      <alignment horizontal="center" vertical="top" wrapText="1"/>
    </xf>
    <xf numFmtId="49" fontId="19" fillId="3" borderId="2" xfId="0" applyNumberFormat="1" applyFont="1" applyFill="1" applyBorder="1" applyAlignment="1">
      <alignment wrapText="1"/>
    </xf>
    <xf numFmtId="49" fontId="19" fillId="3" borderId="5" xfId="0" applyNumberFormat="1" applyFont="1" applyFill="1" applyBorder="1"/>
    <xf numFmtId="49" fontId="16" fillId="0" borderId="2" xfId="0" applyNumberFormat="1" applyFont="1" applyBorder="1" applyAlignment="1">
      <alignment horizontal="center" wrapText="1"/>
    </xf>
    <xf numFmtId="49" fontId="16" fillId="7" borderId="17" xfId="0" applyNumberFormat="1" applyFont="1" applyFill="1" applyBorder="1" applyAlignment="1">
      <alignment horizontal="center" vertical="top" wrapText="1"/>
    </xf>
    <xf numFmtId="49" fontId="16" fillId="7" borderId="12" xfId="0" applyNumberFormat="1" applyFont="1" applyFill="1" applyBorder="1" applyAlignment="1">
      <alignment horizontal="center" vertical="top" wrapText="1"/>
    </xf>
    <xf numFmtId="49" fontId="16" fillId="7" borderId="5" xfId="0" applyNumberFormat="1" applyFont="1" applyFill="1" applyBorder="1" applyAlignment="1">
      <alignment horizontal="center" vertical="top" wrapText="1"/>
    </xf>
    <xf numFmtId="49" fontId="17" fillId="0" borderId="0" xfId="0" applyNumberFormat="1" applyFont="1" applyAlignment="1">
      <alignment horizontal="left" vertical="top" wrapText="1"/>
    </xf>
    <xf numFmtId="37" fontId="11" fillId="3" borderId="9" xfId="0" applyNumberFormat="1" applyFont="1" applyFill="1" applyBorder="1"/>
    <xf numFmtId="14" fontId="23" fillId="5" borderId="22" xfId="0" applyNumberFormat="1" applyFont="1" applyFill="1" applyBorder="1" applyAlignment="1">
      <alignment horizontal="center" vertical="center"/>
    </xf>
    <xf numFmtId="14" fontId="11" fillId="5" borderId="22" xfId="0" applyNumberFormat="1" applyFont="1" applyFill="1" applyBorder="1"/>
    <xf numFmtId="49" fontId="31" fillId="0" borderId="0" xfId="0" applyNumberFormat="1" applyFont="1"/>
    <xf numFmtId="49" fontId="19" fillId="0" borderId="0" xfId="0" applyNumberFormat="1" applyFont="1"/>
    <xf numFmtId="49" fontId="34" fillId="0" borderId="0" xfId="0" applyNumberFormat="1" applyFont="1"/>
    <xf numFmtId="49" fontId="35" fillId="8" borderId="6" xfId="0" applyNumberFormat="1" applyFont="1" applyFill="1" applyBorder="1"/>
    <xf numFmtId="49" fontId="35" fillId="8" borderId="10" xfId="0" applyNumberFormat="1" applyFont="1" applyFill="1" applyBorder="1"/>
    <xf numFmtId="49" fontId="36" fillId="8" borderId="10" xfId="0" applyNumberFormat="1" applyFont="1" applyFill="1" applyBorder="1"/>
    <xf numFmtId="49" fontId="36" fillId="8" borderId="3" xfId="0" applyNumberFormat="1" applyFont="1" applyFill="1" applyBorder="1"/>
    <xf numFmtId="49" fontId="35" fillId="8" borderId="14" xfId="0" applyNumberFormat="1" applyFont="1" applyFill="1" applyBorder="1"/>
    <xf numFmtId="49" fontId="35" fillId="8" borderId="4" xfId="0" applyNumberFormat="1" applyFont="1" applyFill="1" applyBorder="1"/>
    <xf numFmtId="49" fontId="19" fillId="0" borderId="0" xfId="0" applyNumberFormat="1" applyFont="1" applyAlignment="1">
      <alignment wrapText="1"/>
    </xf>
    <xf numFmtId="49" fontId="19" fillId="0" borderId="0" xfId="0" applyNumberFormat="1" applyFont="1" applyAlignment="1">
      <alignment horizontal="center"/>
    </xf>
    <xf numFmtId="49" fontId="16" fillId="0" borderId="0" xfId="0" applyNumberFormat="1" applyFont="1" applyAlignment="1">
      <alignment wrapText="1"/>
    </xf>
    <xf numFmtId="49" fontId="16" fillId="0" borderId="0" xfId="0" applyNumberFormat="1" applyFont="1"/>
    <xf numFmtId="49" fontId="15" fillId="0" borderId="0" xfId="0" applyNumberFormat="1" applyFont="1" applyAlignment="1">
      <alignment wrapText="1"/>
    </xf>
    <xf numFmtId="49" fontId="16" fillId="0" borderId="0" xfId="0" applyNumberFormat="1" applyFont="1" applyAlignment="1">
      <alignment horizontal="center"/>
    </xf>
    <xf numFmtId="49" fontId="37" fillId="7" borderId="5" xfId="0" applyNumberFormat="1" applyFont="1" applyFill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49" fontId="37" fillId="7" borderId="2" xfId="0" applyNumberFormat="1" applyFont="1" applyFill="1" applyBorder="1" applyAlignment="1">
      <alignment horizontal="center" vertical="center"/>
    </xf>
    <xf numFmtId="49" fontId="31" fillId="0" borderId="2" xfId="0" applyNumberFormat="1" applyFont="1" applyBorder="1" applyAlignment="1">
      <alignment wrapText="1"/>
    </xf>
    <xf numFmtId="0" fontId="38" fillId="0" borderId="0" xfId="0" applyFont="1"/>
    <xf numFmtId="49" fontId="31" fillId="0" borderId="6" xfId="0" applyNumberFormat="1" applyFont="1" applyBorder="1"/>
    <xf numFmtId="49" fontId="31" fillId="0" borderId="15" xfId="0" applyNumberFormat="1" applyFont="1" applyBorder="1" applyAlignment="1">
      <alignment horizontal="left" vertical="center" wrapText="1"/>
    </xf>
    <xf numFmtId="49" fontId="31" fillId="0" borderId="15" xfId="0" applyNumberFormat="1" applyFont="1" applyBorder="1"/>
    <xf numFmtId="49" fontId="19" fillId="0" borderId="0" xfId="0" applyNumberFormat="1" applyFont="1" applyProtection="1">
      <protection locked="0"/>
    </xf>
    <xf numFmtId="49" fontId="15" fillId="0" borderId="0" xfId="0" applyNumberFormat="1" applyFont="1" applyAlignment="1">
      <alignment horizontal="left" vertical="center" wrapText="1"/>
    </xf>
    <xf numFmtId="49" fontId="31" fillId="0" borderId="0" xfId="0" applyNumberFormat="1" applyFont="1" applyAlignment="1">
      <alignment horizontal="center" vertical="center"/>
    </xf>
    <xf numFmtId="49" fontId="39" fillId="0" borderId="0" xfId="0" applyNumberFormat="1" applyFont="1"/>
    <xf numFmtId="49" fontId="40" fillId="9" borderId="20" xfId="0" applyNumberFormat="1" applyFont="1" applyFill="1" applyBorder="1" applyProtection="1">
      <protection locked="0"/>
    </xf>
    <xf numFmtId="49" fontId="40" fillId="9" borderId="19" xfId="0" applyNumberFormat="1" applyFont="1" applyFill="1" applyBorder="1" applyProtection="1">
      <protection locked="0"/>
    </xf>
    <xf numFmtId="49" fontId="40" fillId="9" borderId="31" xfId="0" applyNumberFormat="1" applyFont="1" applyFill="1" applyBorder="1" applyAlignment="1" applyProtection="1">
      <alignment horizontal="center"/>
      <protection locked="0"/>
    </xf>
    <xf numFmtId="14" fontId="41" fillId="9" borderId="19" xfId="0" applyNumberFormat="1" applyFont="1" applyFill="1" applyBorder="1" applyAlignment="1">
      <alignment horizontal="center" vertical="center" wrapText="1"/>
    </xf>
    <xf numFmtId="14" fontId="41" fillId="9" borderId="21" xfId="0" applyNumberFormat="1" applyFont="1" applyFill="1" applyBorder="1" applyAlignment="1">
      <alignment horizontal="center" vertical="center" wrapText="1"/>
    </xf>
    <xf numFmtId="0" fontId="19" fillId="9" borderId="3" xfId="0" applyFont="1" applyFill="1" applyBorder="1"/>
    <xf numFmtId="0" fontId="19" fillId="9" borderId="2" xfId="0" applyFont="1" applyFill="1" applyBorder="1"/>
    <xf numFmtId="49" fontId="40" fillId="9" borderId="6" xfId="0" applyNumberFormat="1" applyFont="1" applyFill="1" applyBorder="1" applyAlignment="1" applyProtection="1">
      <alignment horizontal="center"/>
      <protection locked="0"/>
    </xf>
    <xf numFmtId="14" fontId="42" fillId="9" borderId="2" xfId="0" applyNumberFormat="1" applyFont="1" applyFill="1" applyBorder="1" applyAlignment="1">
      <alignment horizontal="center" vertical="center" wrapText="1"/>
    </xf>
    <xf numFmtId="14" fontId="42" fillId="9" borderId="22" xfId="0" applyNumberFormat="1" applyFont="1" applyFill="1" applyBorder="1" applyAlignment="1">
      <alignment horizontal="center" vertical="center" wrapText="1"/>
    </xf>
    <xf numFmtId="0" fontId="19" fillId="9" borderId="25" xfId="0" applyFont="1" applyFill="1" applyBorder="1"/>
    <xf numFmtId="0" fontId="19" fillId="9" borderId="24" xfId="0" applyFont="1" applyFill="1" applyBorder="1"/>
    <xf numFmtId="49" fontId="40" fillId="9" borderId="33" xfId="0" applyNumberFormat="1" applyFont="1" applyFill="1" applyBorder="1" applyAlignment="1" applyProtection="1">
      <alignment horizontal="center"/>
      <protection locked="0"/>
    </xf>
    <xf numFmtId="14" fontId="16" fillId="9" borderId="24" xfId="0" applyNumberFormat="1" applyFont="1" applyFill="1" applyBorder="1" applyAlignment="1">
      <alignment horizontal="center" vertical="center" wrapText="1"/>
    </xf>
    <xf numFmtId="49" fontId="31" fillId="11" borderId="16" xfId="0" applyNumberFormat="1" applyFont="1" applyFill="1" applyBorder="1" applyAlignment="1">
      <alignment wrapText="1"/>
    </xf>
    <xf numFmtId="49" fontId="19" fillId="11" borderId="35" xfId="0" applyNumberFormat="1" applyFont="1" applyFill="1" applyBorder="1"/>
    <xf numFmtId="49" fontId="19" fillId="11" borderId="17" xfId="0" applyNumberFormat="1" applyFont="1" applyFill="1" applyBorder="1"/>
    <xf numFmtId="49" fontId="19" fillId="11" borderId="9" xfId="0" applyNumberFormat="1" applyFont="1" applyFill="1" applyBorder="1"/>
    <xf numFmtId="49" fontId="19" fillId="11" borderId="16" xfId="0" applyNumberFormat="1" applyFont="1" applyFill="1" applyBorder="1"/>
    <xf numFmtId="14" fontId="42" fillId="9" borderId="24" xfId="0" applyNumberFormat="1" applyFont="1" applyFill="1" applyBorder="1" applyAlignment="1">
      <alignment horizontal="center" vertical="center" wrapText="1"/>
    </xf>
    <xf numFmtId="14" fontId="42" fillId="9" borderId="26" xfId="0" applyNumberFormat="1" applyFont="1" applyFill="1" applyBorder="1" applyAlignment="1">
      <alignment horizontal="center" vertical="center" wrapText="1"/>
    </xf>
    <xf numFmtId="0" fontId="37" fillId="11" borderId="28" xfId="0" applyFont="1" applyFill="1" applyBorder="1" applyAlignment="1">
      <alignment horizontal="justify" vertical="center" wrapText="1"/>
    </xf>
    <xf numFmtId="49" fontId="31" fillId="11" borderId="35" xfId="0" applyNumberFormat="1" applyFont="1" applyFill="1" applyBorder="1" applyAlignment="1" applyProtection="1">
      <alignment horizontal="center" vertical="center"/>
      <protection locked="0"/>
    </xf>
    <xf numFmtId="0" fontId="19" fillId="11" borderId="30" xfId="0" applyFont="1" applyFill="1" applyBorder="1"/>
    <xf numFmtId="0" fontId="19" fillId="11" borderId="23" xfId="0" applyFont="1" applyFill="1" applyBorder="1"/>
    <xf numFmtId="49" fontId="40" fillId="11" borderId="39" xfId="0" applyNumberFormat="1" applyFont="1" applyFill="1" applyBorder="1" applyAlignment="1" applyProtection="1">
      <alignment horizontal="center"/>
      <protection locked="0"/>
    </xf>
    <xf numFmtId="49" fontId="40" fillId="11" borderId="23" xfId="0" applyNumberFormat="1" applyFont="1" applyFill="1" applyBorder="1" applyProtection="1">
      <protection locked="0"/>
    </xf>
    <xf numFmtId="49" fontId="40" fillId="11" borderId="39" xfId="0" applyNumberFormat="1" applyFont="1" applyFill="1" applyBorder="1" applyProtection="1">
      <protection locked="0"/>
    </xf>
    <xf numFmtId="14" fontId="42" fillId="11" borderId="39" xfId="0" applyNumberFormat="1" applyFont="1" applyFill="1" applyBorder="1" applyAlignment="1">
      <alignment horizontal="center" vertical="center" wrapText="1"/>
    </xf>
    <xf numFmtId="14" fontId="42" fillId="11" borderId="23" xfId="0" applyNumberFormat="1" applyFont="1" applyFill="1" applyBorder="1" applyAlignment="1">
      <alignment horizontal="center" vertical="center" wrapText="1"/>
    </xf>
    <xf numFmtId="14" fontId="42" fillId="11" borderId="40" xfId="0" applyNumberFormat="1" applyFont="1" applyFill="1" applyBorder="1" applyAlignment="1">
      <alignment horizontal="center" vertical="center" wrapText="1"/>
    </xf>
    <xf numFmtId="0" fontId="19" fillId="0" borderId="20" xfId="0" applyFont="1" applyBorder="1"/>
    <xf numFmtId="0" fontId="19" fillId="0" borderId="19" xfId="0" applyFont="1" applyBorder="1"/>
    <xf numFmtId="49" fontId="40" fillId="0" borderId="31" xfId="0" applyNumberFormat="1" applyFont="1" applyBorder="1" applyAlignment="1" applyProtection="1">
      <alignment horizontal="center"/>
      <protection locked="0"/>
    </xf>
    <xf numFmtId="49" fontId="40" fillId="0" borderId="9" xfId="0" applyNumberFormat="1" applyFont="1" applyBorder="1" applyProtection="1">
      <protection locked="0"/>
    </xf>
    <xf numFmtId="49" fontId="40" fillId="0" borderId="16" xfId="0" applyNumberFormat="1" applyFont="1" applyBorder="1" applyProtection="1">
      <protection locked="0"/>
    </xf>
    <xf numFmtId="0" fontId="19" fillId="0" borderId="3" xfId="0" applyFont="1" applyBorder="1"/>
    <xf numFmtId="0" fontId="19" fillId="0" borderId="2" xfId="0" applyFont="1" applyBorder="1"/>
    <xf numFmtId="49" fontId="40" fillId="0" borderId="6" xfId="0" applyNumberFormat="1" applyFont="1" applyBorder="1" applyAlignment="1" applyProtection="1">
      <alignment horizontal="center"/>
      <protection locked="0"/>
    </xf>
    <xf numFmtId="0" fontId="19" fillId="0" borderId="12" xfId="0" applyFont="1" applyBorder="1"/>
    <xf numFmtId="0" fontId="19" fillId="0" borderId="5" xfId="0" applyFont="1" applyBorder="1"/>
    <xf numFmtId="49" fontId="40" fillId="0" borderId="11" xfId="0" applyNumberFormat="1" applyFont="1" applyBorder="1" applyAlignment="1" applyProtection="1">
      <alignment horizontal="center"/>
      <protection locked="0"/>
    </xf>
    <xf numFmtId="14" fontId="30" fillId="9" borderId="24" xfId="0" applyNumberFormat="1" applyFont="1" applyFill="1" applyBorder="1" applyAlignment="1">
      <alignment horizontal="center" vertical="center" wrapText="1"/>
    </xf>
    <xf numFmtId="0" fontId="19" fillId="9" borderId="42" xfId="0" applyFont="1" applyFill="1" applyBorder="1"/>
    <xf numFmtId="0" fontId="19" fillId="9" borderId="19" xfId="0" applyFont="1" applyFill="1" applyBorder="1"/>
    <xf numFmtId="0" fontId="19" fillId="9" borderId="43" xfId="0" applyFont="1" applyFill="1" applyBorder="1"/>
    <xf numFmtId="14" fontId="42" fillId="9" borderId="6" xfId="0" applyNumberFormat="1" applyFont="1" applyFill="1" applyBorder="1" applyAlignment="1">
      <alignment horizontal="center" vertical="center" wrapText="1"/>
    </xf>
    <xf numFmtId="0" fontId="19" fillId="9" borderId="44" xfId="0" applyFont="1" applyFill="1" applyBorder="1"/>
    <xf numFmtId="14" fontId="42" fillId="9" borderId="33" xfId="0" applyNumberFormat="1" applyFont="1" applyFill="1" applyBorder="1" applyAlignment="1">
      <alignment horizontal="center" vertical="center" wrapText="1"/>
    </xf>
    <xf numFmtId="49" fontId="31" fillId="3" borderId="1" xfId="0" applyNumberFormat="1" applyFont="1" applyFill="1" applyBorder="1" applyAlignment="1">
      <alignment wrapText="1"/>
    </xf>
    <xf numFmtId="49" fontId="19" fillId="3" borderId="9" xfId="0" applyNumberFormat="1" applyFont="1" applyFill="1" applyBorder="1"/>
    <xf numFmtId="49" fontId="19" fillId="3" borderId="1" xfId="0" applyNumberFormat="1" applyFont="1" applyFill="1" applyBorder="1"/>
    <xf numFmtId="4" fontId="19" fillId="3" borderId="9" xfId="0" applyNumberFormat="1" applyFont="1" applyFill="1" applyBorder="1"/>
    <xf numFmtId="49" fontId="19" fillId="3" borderId="13" xfId="0" applyNumberFormat="1" applyFont="1" applyFill="1" applyBorder="1"/>
    <xf numFmtId="49" fontId="33" fillId="7" borderId="7" xfId="0" applyNumberFormat="1" applyFont="1" applyFill="1" applyBorder="1"/>
    <xf numFmtId="49" fontId="33" fillId="7" borderId="8" xfId="0" applyNumberFormat="1" applyFont="1" applyFill="1" applyBorder="1" applyAlignment="1">
      <alignment horizontal="center" wrapText="1"/>
    </xf>
    <xf numFmtId="49" fontId="33" fillId="7" borderId="19" xfId="0" applyNumberFormat="1" applyFont="1" applyFill="1" applyBorder="1"/>
    <xf numFmtId="49" fontId="33" fillId="0" borderId="0" xfId="0" applyNumberFormat="1" applyFont="1"/>
    <xf numFmtId="166" fontId="19" fillId="0" borderId="0" xfId="2" applyNumberFormat="1" applyFont="1" applyFill="1" applyBorder="1" applyAlignment="1"/>
    <xf numFmtId="49" fontId="43" fillId="0" borderId="0" xfId="0" applyNumberFormat="1" applyFont="1" applyAlignment="1">
      <alignment wrapText="1"/>
    </xf>
    <xf numFmtId="49" fontId="31" fillId="7" borderId="2" xfId="0" applyNumberFormat="1" applyFont="1" applyFill="1" applyBorder="1" applyAlignment="1">
      <alignment horizontal="center" wrapText="1"/>
    </xf>
    <xf numFmtId="49" fontId="31" fillId="7" borderId="4" xfId="0" applyNumberFormat="1" applyFont="1" applyFill="1" applyBorder="1" applyAlignment="1">
      <alignment horizontal="center" wrapText="1"/>
    </xf>
    <xf numFmtId="2" fontId="31" fillId="9" borderId="1" xfId="0" applyNumberFormat="1" applyFont="1" applyFill="1" applyBorder="1" applyProtection="1">
      <protection locked="0"/>
    </xf>
    <xf numFmtId="49" fontId="31" fillId="7" borderId="1" xfId="0" applyNumberFormat="1" applyFont="1" applyFill="1" applyBorder="1" applyAlignment="1">
      <alignment horizontal="center" wrapText="1"/>
    </xf>
    <xf numFmtId="14" fontId="19" fillId="0" borderId="0" xfId="0" applyNumberFormat="1" applyFont="1"/>
    <xf numFmtId="1" fontId="19" fillId="0" borderId="0" xfId="0" applyNumberFormat="1" applyFont="1"/>
    <xf numFmtId="169" fontId="19" fillId="0" borderId="0" xfId="0" applyNumberFormat="1" applyFont="1"/>
    <xf numFmtId="166" fontId="19" fillId="0" borderId="0" xfId="2" applyNumberFormat="1" applyFont="1"/>
    <xf numFmtId="49" fontId="45" fillId="0" borderId="0" xfId="0" applyNumberFormat="1" applyFont="1"/>
    <xf numFmtId="49" fontId="46" fillId="0" borderId="0" xfId="0" applyNumberFormat="1" applyFont="1"/>
    <xf numFmtId="49" fontId="15" fillId="0" borderId="0" xfId="0" applyNumberFormat="1" applyFont="1"/>
    <xf numFmtId="49" fontId="31" fillId="0" borderId="0" xfId="0" applyNumberFormat="1" applyFont="1" applyAlignment="1">
      <alignment horizontal="right"/>
    </xf>
    <xf numFmtId="49" fontId="47" fillId="4" borderId="0" xfId="0" applyNumberFormat="1" applyFont="1" applyFill="1"/>
    <xf numFmtId="49" fontId="31" fillId="4" borderId="0" xfId="0" applyNumberFormat="1" applyFont="1" applyFill="1"/>
    <xf numFmtId="49" fontId="19" fillId="3" borderId="1" xfId="0" applyNumberFormat="1" applyFont="1" applyFill="1" applyBorder="1" applyAlignment="1">
      <alignment vertical="center"/>
    </xf>
    <xf numFmtId="49" fontId="33" fillId="7" borderId="8" xfId="0" applyNumberFormat="1" applyFont="1" applyFill="1" applyBorder="1" applyAlignment="1">
      <alignment horizontal="center" vertical="center" wrapText="1"/>
    </xf>
    <xf numFmtId="49" fontId="18" fillId="0" borderId="42" xfId="0" applyNumberFormat="1" applyFont="1" applyBorder="1" applyAlignment="1">
      <alignment horizontal="left" vertical="center" wrapText="1"/>
    </xf>
    <xf numFmtId="49" fontId="18" fillId="0" borderId="0" xfId="0" applyNumberFormat="1" applyFont="1" applyAlignment="1">
      <alignment horizontal="left"/>
    </xf>
    <xf numFmtId="49" fontId="31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center"/>
    </xf>
    <xf numFmtId="49" fontId="33" fillId="0" borderId="0" xfId="0" applyNumberFormat="1" applyFont="1" applyAlignment="1">
      <alignment horizontal="center"/>
    </xf>
    <xf numFmtId="49" fontId="47" fillId="0" borderId="0" xfId="0" applyNumberFormat="1" applyFont="1" applyAlignment="1">
      <alignment horizontal="center"/>
    </xf>
    <xf numFmtId="49" fontId="32" fillId="7" borderId="7" xfId="0" applyNumberFormat="1" applyFont="1" applyFill="1" applyBorder="1" applyAlignment="1">
      <alignment vertical="center" wrapText="1"/>
    </xf>
    <xf numFmtId="166" fontId="32" fillId="9" borderId="2" xfId="2" applyNumberFormat="1" applyFont="1" applyFill="1" applyBorder="1" applyProtection="1">
      <protection locked="0"/>
    </xf>
    <xf numFmtId="49" fontId="48" fillId="0" borderId="0" xfId="0" applyNumberFormat="1" applyFont="1"/>
    <xf numFmtId="49" fontId="50" fillId="0" borderId="0" xfId="0" applyNumberFormat="1" applyFont="1"/>
    <xf numFmtId="49" fontId="12" fillId="0" borderId="2" xfId="0" applyNumberFormat="1" applyFont="1" applyBorder="1" applyAlignment="1">
      <alignment horizontal="left" vertical="center" wrapText="1"/>
    </xf>
    <xf numFmtId="49" fontId="12" fillId="0" borderId="2" xfId="0" applyNumberFormat="1" applyFont="1" applyBorder="1" applyAlignment="1">
      <alignment vertical="center" wrapText="1"/>
    </xf>
    <xf numFmtId="49" fontId="12" fillId="0" borderId="0" xfId="0" applyNumberFormat="1" applyFont="1" applyAlignment="1">
      <alignment vertical="center"/>
    </xf>
    <xf numFmtId="49" fontId="12" fillId="7" borderId="5" xfId="0" applyNumberFormat="1" applyFont="1" applyFill="1" applyBorder="1" applyAlignment="1">
      <alignment horizontal="center" vertical="center"/>
    </xf>
    <xf numFmtId="1" fontId="11" fillId="0" borderId="0" xfId="0" applyNumberFormat="1" applyFont="1"/>
    <xf numFmtId="0" fontId="11" fillId="0" borderId="9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64" fontId="11" fillId="0" borderId="0" xfId="2" applyFont="1"/>
    <xf numFmtId="49" fontId="11" fillId="0" borderId="15" xfId="0" applyNumberFormat="1" applyFont="1" applyBorder="1" applyAlignment="1">
      <alignment horizontal="left" vertical="center"/>
    </xf>
    <xf numFmtId="49" fontId="51" fillId="0" borderId="15" xfId="0" applyNumberFormat="1" applyFont="1" applyBorder="1" applyProtection="1">
      <protection locked="0"/>
    </xf>
    <xf numFmtId="49" fontId="48" fillId="0" borderId="0" xfId="0" applyNumberFormat="1" applyFont="1" applyAlignment="1">
      <alignment vertical="center"/>
    </xf>
    <xf numFmtId="49" fontId="52" fillId="0" borderId="0" xfId="0" applyNumberFormat="1" applyFont="1"/>
    <xf numFmtId="49" fontId="23" fillId="0" borderId="0" xfId="0" applyNumberFormat="1" applyFont="1"/>
    <xf numFmtId="49" fontId="53" fillId="0" borderId="0" xfId="0" applyNumberFormat="1" applyFont="1"/>
    <xf numFmtId="49" fontId="54" fillId="0" borderId="0" xfId="0" applyNumberFormat="1" applyFont="1"/>
    <xf numFmtId="49" fontId="55" fillId="0" borderId="0" xfId="0" applyNumberFormat="1" applyFont="1"/>
    <xf numFmtId="0" fontId="56" fillId="6" borderId="0" xfId="0" applyFont="1" applyFill="1"/>
    <xf numFmtId="49" fontId="57" fillId="8" borderId="6" xfId="0" applyNumberFormat="1" applyFont="1" applyFill="1" applyBorder="1"/>
    <xf numFmtId="49" fontId="57" fillId="8" borderId="10" xfId="0" applyNumberFormat="1" applyFont="1" applyFill="1" applyBorder="1"/>
    <xf numFmtId="49" fontId="57" fillId="8" borderId="14" xfId="0" applyNumberFormat="1" applyFont="1" applyFill="1" applyBorder="1"/>
    <xf numFmtId="49" fontId="57" fillId="8" borderId="4" xfId="0" applyNumberFormat="1" applyFont="1" applyFill="1" applyBorder="1"/>
    <xf numFmtId="49" fontId="57" fillId="8" borderId="3" xfId="0" applyNumberFormat="1" applyFont="1" applyFill="1" applyBorder="1"/>
    <xf numFmtId="49" fontId="11" fillId="0" borderId="0" xfId="0" applyNumberFormat="1" applyFont="1" applyAlignment="1">
      <alignment horizontal="center" vertical="center"/>
    </xf>
    <xf numFmtId="49" fontId="11" fillId="0" borderId="0" xfId="0" applyNumberFormat="1" applyFont="1" applyAlignment="1">
      <alignment vertical="center"/>
    </xf>
    <xf numFmtId="49" fontId="59" fillId="0" borderId="0" xfId="0" applyNumberFormat="1" applyFont="1" applyAlignment="1">
      <alignment horizontal="left" vertical="center"/>
    </xf>
    <xf numFmtId="49" fontId="61" fillId="0" borderId="0" xfId="0" applyNumberFormat="1" applyFont="1" applyAlignment="1">
      <alignment vertical="center"/>
    </xf>
    <xf numFmtId="49" fontId="61" fillId="0" borderId="0" xfId="0" applyNumberFormat="1" applyFont="1" applyAlignment="1">
      <alignment horizontal="left" vertical="center"/>
    </xf>
    <xf numFmtId="49" fontId="61" fillId="7" borderId="1" xfId="0" applyNumberFormat="1" applyFont="1" applyFill="1" applyBorder="1" applyAlignment="1">
      <alignment vertical="center"/>
    </xf>
    <xf numFmtId="166" fontId="61" fillId="7" borderId="1" xfId="2" applyNumberFormat="1" applyFont="1" applyFill="1" applyBorder="1" applyAlignment="1">
      <alignment vertical="center"/>
    </xf>
    <xf numFmtId="49" fontId="61" fillId="7" borderId="4" xfId="0" applyNumberFormat="1" applyFont="1" applyFill="1" applyBorder="1" applyAlignment="1">
      <alignment horizontal="center" vertical="center" wrapText="1"/>
    </xf>
    <xf numFmtId="49" fontId="60" fillId="7" borderId="2" xfId="0" applyNumberFormat="1" applyFont="1" applyFill="1" applyBorder="1" applyAlignment="1">
      <alignment horizontal="center" vertical="center" wrapText="1"/>
    </xf>
    <xf numFmtId="166" fontId="61" fillId="2" borderId="2" xfId="2" applyNumberFormat="1" applyFont="1" applyFill="1" applyBorder="1" applyAlignment="1" applyProtection="1">
      <alignment horizontal="center" vertical="center"/>
      <protection locked="0"/>
    </xf>
    <xf numFmtId="49" fontId="60" fillId="7" borderId="4" xfId="0" applyNumberFormat="1" applyFont="1" applyFill="1" applyBorder="1" applyAlignment="1">
      <alignment horizontal="center" vertical="center" wrapText="1"/>
    </xf>
    <xf numFmtId="2" fontId="60" fillId="2" borderId="1" xfId="0" applyNumberFormat="1" applyFont="1" applyFill="1" applyBorder="1" applyAlignment="1" applyProtection="1">
      <alignment horizontal="center" vertical="center"/>
      <protection locked="0"/>
    </xf>
    <xf numFmtId="49" fontId="60" fillId="7" borderId="1" xfId="0" applyNumberFormat="1" applyFont="1" applyFill="1" applyBorder="1" applyAlignment="1">
      <alignment horizontal="center" vertical="center" wrapText="1"/>
    </xf>
    <xf numFmtId="49" fontId="62" fillId="2" borderId="2" xfId="0" applyNumberFormat="1" applyFont="1" applyFill="1" applyBorder="1" applyProtection="1">
      <protection locked="0"/>
    </xf>
    <xf numFmtId="49" fontId="62" fillId="7" borderId="4" xfId="0" applyNumberFormat="1" applyFont="1" applyFill="1" applyBorder="1" applyAlignment="1">
      <alignment horizontal="center" vertical="center" wrapText="1"/>
    </xf>
    <xf numFmtId="49" fontId="62" fillId="7" borderId="3" xfId="0" applyNumberFormat="1" applyFont="1" applyFill="1" applyBorder="1" applyAlignment="1">
      <alignment horizontal="center" vertical="center" wrapText="1"/>
    </xf>
    <xf numFmtId="49" fontId="58" fillId="3" borderId="2" xfId="0" applyNumberFormat="1" applyFont="1" applyFill="1" applyBorder="1"/>
    <xf numFmtId="49" fontId="58" fillId="3" borderId="2" xfId="0" applyNumberFormat="1" applyFont="1" applyFill="1" applyBorder="1" applyAlignment="1">
      <alignment vertical="center"/>
    </xf>
    <xf numFmtId="49" fontId="58" fillId="7" borderId="2" xfId="0" applyNumberFormat="1" applyFont="1" applyFill="1" applyBorder="1" applyAlignment="1">
      <alignment vertical="center"/>
    </xf>
    <xf numFmtId="49" fontId="58" fillId="3" borderId="6" xfId="0" applyNumberFormat="1" applyFont="1" applyFill="1" applyBorder="1" applyAlignment="1">
      <alignment vertical="center"/>
    </xf>
    <xf numFmtId="14" fontId="62" fillId="2" borderId="1" xfId="0" applyNumberFormat="1" applyFont="1" applyFill="1" applyBorder="1" applyProtection="1">
      <protection locked="0"/>
    </xf>
    <xf numFmtId="167" fontId="62" fillId="2" borderId="1" xfId="0" applyNumberFormat="1" applyFont="1" applyFill="1" applyBorder="1" applyProtection="1">
      <protection locked="0"/>
    </xf>
    <xf numFmtId="49" fontId="58" fillId="3" borderId="5" xfId="0" applyNumberFormat="1" applyFont="1" applyFill="1" applyBorder="1"/>
    <xf numFmtId="49" fontId="58" fillId="3" borderId="5" xfId="0" applyNumberFormat="1" applyFont="1" applyFill="1" applyBorder="1" applyAlignment="1">
      <alignment vertical="center"/>
    </xf>
    <xf numFmtId="49" fontId="58" fillId="3" borderId="11" xfId="0" applyNumberFormat="1" applyFont="1" applyFill="1" applyBorder="1"/>
    <xf numFmtId="49" fontId="12" fillId="7" borderId="25" xfId="0" applyNumberFormat="1" applyFont="1" applyFill="1" applyBorder="1" applyAlignment="1">
      <alignment horizontal="center" vertical="top" wrapText="1"/>
    </xf>
    <xf numFmtId="49" fontId="12" fillId="7" borderId="24" xfId="0" applyNumberFormat="1" applyFont="1" applyFill="1" applyBorder="1" applyAlignment="1">
      <alignment horizontal="center" vertical="top" wrapText="1"/>
    </xf>
    <xf numFmtId="49" fontId="62" fillId="2" borderId="1" xfId="0" applyNumberFormat="1" applyFont="1" applyFill="1" applyBorder="1" applyProtection="1">
      <protection locked="0"/>
    </xf>
    <xf numFmtId="49" fontId="12" fillId="7" borderId="32" xfId="0" applyNumberFormat="1" applyFont="1" applyFill="1" applyBorder="1" applyAlignment="1">
      <alignment horizontal="center" vertical="top"/>
    </xf>
    <xf numFmtId="49" fontId="12" fillId="7" borderId="32" xfId="0" applyNumberFormat="1" applyFont="1" applyFill="1" applyBorder="1" applyAlignment="1">
      <alignment horizontal="left" vertical="top"/>
    </xf>
    <xf numFmtId="49" fontId="12" fillId="7" borderId="44" xfId="0" applyNumberFormat="1" applyFont="1" applyFill="1" applyBorder="1" applyAlignment="1">
      <alignment horizontal="center" vertical="top" wrapText="1"/>
    </xf>
    <xf numFmtId="49" fontId="12" fillId="7" borderId="30" xfId="0" applyNumberFormat="1" applyFont="1" applyFill="1" applyBorder="1" applyAlignment="1">
      <alignment horizontal="center" vertical="top" wrapText="1"/>
    </xf>
    <xf numFmtId="49" fontId="12" fillId="7" borderId="52" xfId="0" applyNumberFormat="1" applyFont="1" applyFill="1" applyBorder="1" applyAlignment="1">
      <alignment horizontal="center" vertical="top" wrapText="1"/>
    </xf>
    <xf numFmtId="49" fontId="64" fillId="0" borderId="36" xfId="0" applyNumberFormat="1" applyFont="1" applyBorder="1" applyAlignment="1">
      <alignment horizontal="left" vertical="top" wrapText="1"/>
    </xf>
    <xf numFmtId="49" fontId="37" fillId="7" borderId="41" xfId="0" applyNumberFormat="1" applyFont="1" applyFill="1" applyBorder="1" applyAlignment="1">
      <alignment horizontal="center" vertical="top"/>
    </xf>
    <xf numFmtId="49" fontId="58" fillId="3" borderId="3" xfId="0" applyNumberFormat="1" applyFont="1" applyFill="1" applyBorder="1"/>
    <xf numFmtId="49" fontId="58" fillId="3" borderId="12" xfId="0" applyNumberFormat="1" applyFont="1" applyFill="1" applyBorder="1"/>
    <xf numFmtId="49" fontId="61" fillId="7" borderId="4" xfId="0" applyNumberFormat="1" applyFont="1" applyFill="1" applyBorder="1" applyAlignment="1">
      <alignment vertical="center"/>
    </xf>
    <xf numFmtId="49" fontId="11" fillId="3" borderId="37" xfId="0" applyNumberFormat="1" applyFont="1" applyFill="1" applyBorder="1"/>
    <xf numFmtId="49" fontId="11" fillId="3" borderId="47" xfId="0" applyNumberFormat="1" applyFont="1" applyFill="1" applyBorder="1"/>
    <xf numFmtId="49" fontId="61" fillId="7" borderId="38" xfId="0" applyNumberFormat="1" applyFont="1" applyFill="1" applyBorder="1" applyAlignment="1">
      <alignment vertical="center"/>
    </xf>
    <xf numFmtId="49" fontId="61" fillId="0" borderId="0" xfId="0" applyNumberFormat="1" applyFont="1" applyAlignment="1">
      <alignment horizontal="left" indent="1"/>
    </xf>
    <xf numFmtId="49" fontId="59" fillId="0" borderId="0" xfId="0" applyNumberFormat="1" applyFont="1" applyAlignment="1">
      <alignment horizontal="left" indent="1"/>
    </xf>
    <xf numFmtId="49" fontId="59" fillId="0" borderId="0" xfId="0" applyNumberFormat="1" applyFont="1" applyAlignment="1">
      <alignment horizontal="left" vertical="center" indent="1"/>
    </xf>
    <xf numFmtId="49" fontId="63" fillId="0" borderId="0" xfId="0" applyNumberFormat="1" applyFont="1" applyAlignment="1">
      <alignment horizontal="left" indent="1"/>
    </xf>
    <xf numFmtId="0" fontId="33" fillId="0" borderId="0" xfId="0" applyFont="1" applyAlignment="1">
      <alignment horizontal="left" vertical="center"/>
    </xf>
    <xf numFmtId="49" fontId="49" fillId="0" borderId="0" xfId="0" applyNumberFormat="1" applyFont="1" applyAlignment="1">
      <alignment horizontal="center"/>
    </xf>
    <xf numFmtId="49" fontId="13" fillId="0" borderId="0" xfId="0" applyNumberFormat="1" applyFont="1" applyAlignment="1">
      <alignment horizontal="left" wrapText="1"/>
    </xf>
    <xf numFmtId="49" fontId="32" fillId="0" borderId="0" xfId="0" applyNumberFormat="1" applyFont="1" applyAlignment="1">
      <alignment horizontal="left" vertical="center"/>
    </xf>
    <xf numFmtId="0" fontId="66" fillId="0" borderId="0" xfId="0" applyFont="1"/>
    <xf numFmtId="0" fontId="67" fillId="12" borderId="44" xfId="0" applyFont="1" applyFill="1" applyBorder="1" applyAlignment="1">
      <alignment horizontal="center" vertical="center" wrapText="1"/>
    </xf>
    <xf numFmtId="0" fontId="67" fillId="12" borderId="24" xfId="0" applyFont="1" applyFill="1" applyBorder="1" applyAlignment="1">
      <alignment horizontal="center" vertical="center" wrapText="1"/>
    </xf>
    <xf numFmtId="0" fontId="68" fillId="12" borderId="26" xfId="0" applyFont="1" applyFill="1" applyBorder="1" applyAlignment="1">
      <alignment horizontal="center" vertical="center" wrapText="1"/>
    </xf>
    <xf numFmtId="0" fontId="66" fillId="0" borderId="21" xfId="0" applyFont="1" applyBorder="1" applyAlignment="1">
      <alignment vertical="center" wrapText="1"/>
    </xf>
    <xf numFmtId="0" fontId="66" fillId="0" borderId="22" xfId="0" applyFont="1" applyBorder="1" applyAlignment="1">
      <alignment vertical="center" wrapText="1"/>
    </xf>
    <xf numFmtId="0" fontId="66" fillId="0" borderId="26" xfId="0" applyFont="1" applyBorder="1" applyAlignment="1">
      <alignment vertical="center" wrapText="1"/>
    </xf>
    <xf numFmtId="0" fontId="67" fillId="0" borderId="19" xfId="0" applyFont="1" applyBorder="1" applyAlignment="1">
      <alignment horizontal="center" vertical="center"/>
    </xf>
    <xf numFmtId="0" fontId="67" fillId="0" borderId="2" xfId="0" applyFont="1" applyBorder="1" applyAlignment="1">
      <alignment horizontal="center" vertical="center"/>
    </xf>
    <xf numFmtId="0" fontId="67" fillId="0" borderId="24" xfId="0" applyFont="1" applyBorder="1" applyAlignment="1">
      <alignment horizontal="center" vertical="center"/>
    </xf>
    <xf numFmtId="0" fontId="65" fillId="0" borderId="44" xfId="0" applyFont="1" applyBorder="1" applyAlignment="1">
      <alignment horizontal="center" wrapText="1"/>
    </xf>
    <xf numFmtId="38" fontId="72" fillId="13" borderId="5" xfId="0" applyNumberFormat="1" applyFont="1" applyFill="1" applyBorder="1" applyAlignment="1">
      <alignment horizontal="center" vertical="center"/>
    </xf>
    <xf numFmtId="41" fontId="14" fillId="11" borderId="9" xfId="0" applyNumberFormat="1" applyFont="1" applyFill="1" applyBorder="1"/>
    <xf numFmtId="41" fontId="43" fillId="11" borderId="23" xfId="0" applyNumberFormat="1" applyFont="1" applyFill="1" applyBorder="1" applyAlignment="1" applyProtection="1">
      <alignment horizontal="center"/>
      <protection locked="0"/>
    </xf>
    <xf numFmtId="41" fontId="43" fillId="11" borderId="23" xfId="2" applyNumberFormat="1" applyFont="1" applyFill="1" applyBorder="1" applyAlignment="1" applyProtection="1">
      <alignment horizontal="center"/>
      <protection locked="0"/>
    </xf>
    <xf numFmtId="41" fontId="14" fillId="3" borderId="1" xfId="0" applyNumberFormat="1" applyFont="1" applyFill="1" applyBorder="1"/>
    <xf numFmtId="41" fontId="66" fillId="0" borderId="0" xfId="0" applyNumberFormat="1" applyFont="1"/>
    <xf numFmtId="0" fontId="65" fillId="0" borderId="44" xfId="0" applyFont="1" applyBorder="1" applyAlignment="1">
      <alignment horizontal="center" vertical="center" wrapText="1"/>
    </xf>
    <xf numFmtId="14" fontId="65" fillId="0" borderId="42" xfId="0" applyNumberFormat="1" applyFont="1" applyBorder="1" applyAlignment="1">
      <alignment horizontal="center" vertical="center"/>
    </xf>
    <xf numFmtId="14" fontId="65" fillId="0" borderId="19" xfId="0" applyNumberFormat="1" applyFont="1" applyBorder="1" applyAlignment="1">
      <alignment horizontal="center" vertical="center"/>
    </xf>
    <xf numFmtId="41" fontId="65" fillId="0" borderId="19" xfId="0" applyNumberFormat="1" applyFont="1" applyBorder="1" applyAlignment="1">
      <alignment horizontal="center" vertical="center"/>
    </xf>
    <xf numFmtId="14" fontId="65" fillId="0" borderId="43" xfId="0" applyNumberFormat="1" applyFont="1" applyBorder="1" applyAlignment="1">
      <alignment horizontal="center" vertical="center"/>
    </xf>
    <xf numFmtId="14" fontId="65" fillId="0" borderId="2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horizontal="center" vertical="center"/>
    </xf>
    <xf numFmtId="41" fontId="65" fillId="0" borderId="2" xfId="0" applyNumberFormat="1" applyFont="1" applyBorder="1" applyAlignment="1">
      <alignment horizontal="center" vertical="center"/>
    </xf>
    <xf numFmtId="14" fontId="65" fillId="0" borderId="44" xfId="0" applyNumberFormat="1" applyFont="1" applyBorder="1" applyAlignment="1">
      <alignment horizontal="center" vertical="center"/>
    </xf>
    <xf numFmtId="14" fontId="65" fillId="0" borderId="24" xfId="0" applyNumberFormat="1" applyFont="1" applyBorder="1" applyAlignment="1">
      <alignment horizontal="center" vertical="center"/>
    </xf>
    <xf numFmtId="0" fontId="65" fillId="0" borderId="24" xfId="0" applyFont="1" applyBorder="1" applyAlignment="1">
      <alignment horizontal="center" vertical="center"/>
    </xf>
    <xf numFmtId="41" fontId="65" fillId="0" borderId="24" xfId="0" applyNumberFormat="1" applyFont="1" applyBorder="1" applyAlignment="1">
      <alignment horizontal="center" vertical="center"/>
    </xf>
    <xf numFmtId="49" fontId="6" fillId="0" borderId="0" xfId="0" applyNumberFormat="1" applyFont="1"/>
    <xf numFmtId="0" fontId="6" fillId="0" borderId="0" xfId="0" applyFont="1"/>
    <xf numFmtId="37" fontId="12" fillId="7" borderId="2" xfId="0" applyNumberFormat="1" applyFont="1" applyFill="1" applyBorder="1" applyAlignment="1">
      <alignment horizontal="center" vertical="center"/>
    </xf>
    <xf numFmtId="14" fontId="16" fillId="9" borderId="26" xfId="0" applyNumberFormat="1" applyFont="1" applyFill="1" applyBorder="1" applyAlignment="1">
      <alignment horizontal="center" vertical="center" wrapText="1"/>
    </xf>
    <xf numFmtId="0" fontId="68" fillId="0" borderId="32" xfId="0" applyFont="1" applyBorder="1" applyAlignment="1">
      <alignment horizontal="center" vertical="center" wrapText="1"/>
    </xf>
    <xf numFmtId="0" fontId="68" fillId="0" borderId="10" xfId="0" applyFont="1" applyBorder="1" applyAlignment="1">
      <alignment horizontal="center" vertical="center" wrapText="1"/>
    </xf>
    <xf numFmtId="0" fontId="68" fillId="0" borderId="58" xfId="0" applyFont="1" applyBorder="1" applyAlignment="1">
      <alignment horizontal="center" vertical="center" wrapText="1"/>
    </xf>
    <xf numFmtId="14" fontId="65" fillId="0" borderId="21" xfId="0" applyNumberFormat="1" applyFont="1" applyBorder="1" applyAlignment="1">
      <alignment horizontal="center" vertical="center"/>
    </xf>
    <xf numFmtId="14" fontId="65" fillId="0" borderId="22" xfId="0" applyNumberFormat="1" applyFont="1" applyBorder="1" applyAlignment="1">
      <alignment horizontal="center" vertical="center"/>
    </xf>
    <xf numFmtId="49" fontId="73" fillId="12" borderId="25" xfId="0" applyNumberFormat="1" applyFont="1" applyFill="1" applyBorder="1" applyAlignment="1">
      <alignment horizontal="center" vertical="center" wrapText="1"/>
    </xf>
    <xf numFmtId="49" fontId="73" fillId="12" borderId="30" xfId="0" applyNumberFormat="1" applyFont="1" applyFill="1" applyBorder="1" applyAlignment="1">
      <alignment horizontal="center" vertical="center" wrapText="1"/>
    </xf>
    <xf numFmtId="49" fontId="73" fillId="12" borderId="24" xfId="0" applyNumberFormat="1" applyFont="1" applyFill="1" applyBorder="1" applyAlignment="1">
      <alignment horizontal="center" vertical="center" wrapText="1"/>
    </xf>
    <xf numFmtId="49" fontId="73" fillId="12" borderId="52" xfId="0" applyNumberFormat="1" applyFont="1" applyFill="1" applyBorder="1" applyAlignment="1">
      <alignment horizontal="center" vertical="center" wrapText="1"/>
    </xf>
    <xf numFmtId="14" fontId="42" fillId="9" borderId="0" xfId="0" applyNumberFormat="1" applyFont="1" applyFill="1" applyAlignment="1">
      <alignment horizontal="center" vertical="center" wrapText="1"/>
    </xf>
    <xf numFmtId="14" fontId="75" fillId="5" borderId="1" xfId="0" applyNumberFormat="1" applyFont="1" applyFill="1" applyBorder="1" applyAlignment="1">
      <alignment horizontal="center" vertical="center" wrapText="1"/>
    </xf>
    <xf numFmtId="49" fontId="75" fillId="5" borderId="2" xfId="0" applyNumberFormat="1" applyFont="1" applyFill="1" applyBorder="1" applyProtection="1">
      <protection locked="0"/>
    </xf>
    <xf numFmtId="49" fontId="77" fillId="5" borderId="2" xfId="0" applyNumberFormat="1" applyFont="1" applyFill="1" applyBorder="1" applyProtection="1">
      <protection locked="0"/>
    </xf>
    <xf numFmtId="14" fontId="78" fillId="5" borderId="2" xfId="0" applyNumberFormat="1" applyFont="1" applyFill="1" applyBorder="1" applyAlignment="1">
      <alignment horizontal="center" vertical="center" wrapText="1"/>
    </xf>
    <xf numFmtId="14" fontId="76" fillId="5" borderId="2" xfId="0" applyNumberFormat="1" applyFont="1" applyFill="1" applyBorder="1" applyAlignment="1" applyProtection="1">
      <alignment horizontal="center" vertical="center"/>
      <protection locked="0"/>
    </xf>
    <xf numFmtId="49" fontId="75" fillId="5" borderId="2" xfId="0" applyNumberFormat="1" applyFont="1" applyFill="1" applyBorder="1"/>
    <xf numFmtId="14" fontId="78" fillId="5" borderId="2" xfId="0" applyNumberFormat="1" applyFont="1" applyFill="1" applyBorder="1" applyAlignment="1">
      <alignment horizontal="center" vertical="center"/>
    </xf>
    <xf numFmtId="14" fontId="76" fillId="5" borderId="2" xfId="0" applyNumberFormat="1" applyFont="1" applyFill="1" applyBorder="1" applyAlignment="1">
      <alignment horizontal="center" vertical="center" wrapText="1"/>
    </xf>
    <xf numFmtId="49" fontId="76" fillId="3" borderId="6" xfId="0" applyNumberFormat="1" applyFont="1" applyFill="1" applyBorder="1" applyAlignment="1">
      <alignment vertical="center"/>
    </xf>
    <xf numFmtId="49" fontId="76" fillId="3" borderId="2" xfId="0" applyNumberFormat="1" applyFont="1" applyFill="1" applyBorder="1" applyAlignment="1">
      <alignment vertical="center"/>
    </xf>
    <xf numFmtId="14" fontId="75" fillId="5" borderId="2" xfId="0" applyNumberFormat="1" applyFont="1" applyFill="1" applyBorder="1" applyAlignment="1">
      <alignment horizontal="center" vertical="center" wrapText="1"/>
    </xf>
    <xf numFmtId="49" fontId="75" fillId="2" borderId="2" xfId="0" applyNumberFormat="1" applyFont="1" applyFill="1" applyBorder="1" applyProtection="1">
      <protection locked="0"/>
    </xf>
    <xf numFmtId="49" fontId="77" fillId="2" borderId="2" xfId="0" applyNumberFormat="1" applyFont="1" applyFill="1" applyBorder="1" applyProtection="1">
      <protection locked="0"/>
    </xf>
    <xf numFmtId="49" fontId="75" fillId="2" borderId="2" xfId="0" applyNumberFormat="1" applyFont="1" applyFill="1" applyBorder="1"/>
    <xf numFmtId="49" fontId="76" fillId="2" borderId="2" xfId="0" applyNumberFormat="1" applyFont="1" applyFill="1" applyBorder="1" applyAlignment="1" applyProtection="1">
      <alignment horizontal="center" vertical="center"/>
      <protection locked="0"/>
    </xf>
    <xf numFmtId="49" fontId="76" fillId="3" borderId="5" xfId="0" applyNumberFormat="1" applyFont="1" applyFill="1" applyBorder="1"/>
    <xf numFmtId="49" fontId="80" fillId="6" borderId="2" xfId="0" applyNumberFormat="1" applyFont="1" applyFill="1" applyBorder="1" applyAlignment="1">
      <alignment horizontal="center" vertical="center"/>
    </xf>
    <xf numFmtId="14" fontId="80" fillId="6" borderId="2" xfId="0" applyNumberFormat="1" applyFont="1" applyFill="1" applyBorder="1" applyAlignment="1">
      <alignment horizontal="center" vertical="center"/>
    </xf>
    <xf numFmtId="49" fontId="76" fillId="6" borderId="2" xfId="0" applyNumberFormat="1" applyFont="1" applyFill="1" applyBorder="1"/>
    <xf numFmtId="14" fontId="81" fillId="6" borderId="2" xfId="0" applyNumberFormat="1" applyFont="1" applyFill="1" applyBorder="1" applyAlignment="1">
      <alignment horizontal="center" vertical="center"/>
    </xf>
    <xf numFmtId="49" fontId="79" fillId="6" borderId="2" xfId="0" applyNumberFormat="1" applyFont="1" applyFill="1" applyBorder="1" applyAlignment="1">
      <alignment horizontal="center" vertical="center"/>
    </xf>
    <xf numFmtId="49" fontId="79" fillId="7" borderId="1" xfId="0" applyNumberFormat="1" applyFont="1" applyFill="1" applyBorder="1" applyAlignment="1">
      <alignment vertical="center"/>
    </xf>
    <xf numFmtId="166" fontId="79" fillId="7" borderId="1" xfId="2" applyNumberFormat="1" applyFont="1" applyFill="1" applyBorder="1" applyAlignment="1">
      <alignment vertical="center"/>
    </xf>
    <xf numFmtId="49" fontId="79" fillId="14" borderId="2" xfId="0" applyNumberFormat="1" applyFont="1" applyFill="1" applyBorder="1" applyAlignment="1">
      <alignment horizontal="center" vertical="center"/>
    </xf>
    <xf numFmtId="14" fontId="79" fillId="6" borderId="2" xfId="0" applyNumberFormat="1" applyFont="1" applyFill="1" applyBorder="1" applyAlignment="1">
      <alignment horizontal="center" vertical="center"/>
    </xf>
    <xf numFmtId="49" fontId="58" fillId="8" borderId="2" xfId="0" applyNumberFormat="1" applyFont="1" applyFill="1" applyBorder="1"/>
    <xf numFmtId="49" fontId="58" fillId="8" borderId="1" xfId="0" applyNumberFormat="1" applyFont="1" applyFill="1" applyBorder="1"/>
    <xf numFmtId="14" fontId="81" fillId="5" borderId="2" xfId="0" applyNumberFormat="1" applyFont="1" applyFill="1" applyBorder="1" applyAlignment="1">
      <alignment horizontal="center" vertical="center"/>
    </xf>
    <xf numFmtId="14" fontId="65" fillId="0" borderId="26" xfId="0" applyNumberFormat="1" applyFont="1" applyBorder="1" applyAlignment="1">
      <alignment horizontal="center" vertical="center"/>
    </xf>
    <xf numFmtId="0" fontId="19" fillId="9" borderId="12" xfId="0" applyFont="1" applyFill="1" applyBorder="1"/>
    <xf numFmtId="0" fontId="19" fillId="9" borderId="5" xfId="0" applyFont="1" applyFill="1" applyBorder="1"/>
    <xf numFmtId="49" fontId="40" fillId="9" borderId="11" xfId="0" applyNumberFormat="1" applyFont="1" applyFill="1" applyBorder="1" applyAlignment="1" applyProtection="1">
      <alignment horizontal="center"/>
      <protection locked="0"/>
    </xf>
    <xf numFmtId="14" fontId="16" fillId="9" borderId="5" xfId="0" applyNumberFormat="1" applyFont="1" applyFill="1" applyBorder="1" applyAlignment="1">
      <alignment horizontal="center" vertical="center" wrapText="1"/>
    </xf>
    <xf numFmtId="14" fontId="16" fillId="9" borderId="59" xfId="0" applyNumberFormat="1" applyFont="1" applyFill="1" applyBorder="1" applyAlignment="1">
      <alignment horizontal="center" vertical="center" wrapText="1"/>
    </xf>
    <xf numFmtId="49" fontId="40" fillId="9" borderId="4" xfId="0" applyNumberFormat="1" applyFont="1" applyFill="1" applyBorder="1" applyProtection="1">
      <protection locked="0"/>
    </xf>
    <xf numFmtId="49" fontId="40" fillId="9" borderId="1" xfId="0" applyNumberFormat="1" applyFont="1" applyFill="1" applyBorder="1" applyProtection="1">
      <protection locked="0"/>
    </xf>
    <xf numFmtId="49" fontId="40" fillId="9" borderId="13" xfId="0" applyNumberFormat="1" applyFont="1" applyFill="1" applyBorder="1" applyAlignment="1" applyProtection="1">
      <alignment horizontal="center"/>
      <protection locked="0"/>
    </xf>
    <xf numFmtId="49" fontId="19" fillId="7" borderId="17" xfId="0" applyNumberFormat="1" applyFont="1" applyFill="1" applyBorder="1" applyAlignment="1">
      <alignment horizontal="center" vertical="center" wrapText="1"/>
    </xf>
    <xf numFmtId="49" fontId="16" fillId="7" borderId="55" xfId="0" applyNumberFormat="1" applyFont="1" applyFill="1" applyBorder="1" applyAlignment="1">
      <alignment horizontal="center" vertical="center" wrapText="1"/>
    </xf>
    <xf numFmtId="49" fontId="19" fillId="7" borderId="12" xfId="0" applyNumberFormat="1" applyFont="1" applyFill="1" applyBorder="1" applyAlignment="1">
      <alignment horizontal="center" vertical="center" wrapText="1"/>
    </xf>
    <xf numFmtId="49" fontId="19" fillId="7" borderId="5" xfId="0" applyNumberFormat="1" applyFont="1" applyFill="1" applyBorder="1" applyAlignment="1">
      <alignment horizontal="center" vertical="center" wrapText="1"/>
    </xf>
    <xf numFmtId="49" fontId="19" fillId="7" borderId="61" xfId="0" applyNumberFormat="1" applyFont="1" applyFill="1" applyBorder="1" applyAlignment="1">
      <alignment horizontal="center" vertical="center" wrapText="1"/>
    </xf>
    <xf numFmtId="14" fontId="16" fillId="9" borderId="2" xfId="0" applyNumberFormat="1" applyFont="1" applyFill="1" applyBorder="1" applyAlignment="1">
      <alignment horizontal="center" vertical="center" wrapText="1"/>
    </xf>
    <xf numFmtId="164" fontId="33" fillId="11" borderId="35" xfId="2" applyFont="1" applyFill="1" applyBorder="1" applyAlignment="1"/>
    <xf numFmtId="166" fontId="33" fillId="11" borderId="35" xfId="0" applyNumberFormat="1" applyFont="1" applyFill="1" applyBorder="1" applyAlignment="1">
      <alignment horizontal="center" vertical="center"/>
    </xf>
    <xf numFmtId="49" fontId="33" fillId="3" borderId="9" xfId="0" applyNumberFormat="1" applyFont="1" applyFill="1" applyBorder="1"/>
    <xf numFmtId="166" fontId="33" fillId="7" borderId="7" xfId="2" applyNumberFormat="1" applyFont="1" applyFill="1" applyBorder="1" applyAlignment="1">
      <alignment vertical="center"/>
    </xf>
    <xf numFmtId="49" fontId="33" fillId="11" borderId="17" xfId="0" applyNumberFormat="1" applyFont="1" applyFill="1" applyBorder="1"/>
    <xf numFmtId="49" fontId="33" fillId="11" borderId="9" xfId="0" applyNumberFormat="1" applyFont="1" applyFill="1" applyBorder="1"/>
    <xf numFmtId="4" fontId="33" fillId="11" borderId="9" xfId="0" applyNumberFormat="1" applyFont="1" applyFill="1" applyBorder="1"/>
    <xf numFmtId="49" fontId="83" fillId="11" borderId="30" xfId="0" applyNumberFormat="1" applyFont="1" applyFill="1" applyBorder="1" applyAlignment="1" applyProtection="1">
      <alignment horizontal="center"/>
      <protection locked="0"/>
    </xf>
    <xf numFmtId="49" fontId="33" fillId="11" borderId="9" xfId="0" applyNumberFormat="1" applyFont="1" applyFill="1" applyBorder="1" applyAlignment="1" applyProtection="1">
      <alignment horizontal="center" vertical="center"/>
      <protection locked="0"/>
    </xf>
    <xf numFmtId="49" fontId="33" fillId="11" borderId="23" xfId="0" applyNumberFormat="1" applyFont="1" applyFill="1" applyBorder="1" applyAlignment="1" applyProtection="1">
      <alignment horizontal="center" vertical="center"/>
      <protection locked="0"/>
    </xf>
    <xf numFmtId="49" fontId="43" fillId="7" borderId="19" xfId="0" applyNumberFormat="1" applyFont="1" applyFill="1" applyBorder="1" applyAlignment="1">
      <alignment horizontal="center" vertical="center" wrapText="1"/>
    </xf>
    <xf numFmtId="49" fontId="43" fillId="7" borderId="2" xfId="0" applyNumberFormat="1" applyFont="1" applyFill="1" applyBorder="1" applyAlignment="1">
      <alignment horizontal="center" vertical="center" wrapText="1"/>
    </xf>
    <xf numFmtId="49" fontId="43" fillId="7" borderId="5" xfId="0" applyNumberFormat="1" applyFont="1" applyFill="1" applyBorder="1" applyAlignment="1">
      <alignment horizontal="center" vertical="center" wrapText="1"/>
    </xf>
    <xf numFmtId="49" fontId="43" fillId="7" borderId="24" xfId="0" applyNumberFormat="1" applyFont="1" applyFill="1" applyBorder="1" applyAlignment="1">
      <alignment horizontal="center" vertical="center" wrapText="1"/>
    </xf>
    <xf numFmtId="49" fontId="14" fillId="11" borderId="9" xfId="0" applyNumberFormat="1" applyFont="1" applyFill="1" applyBorder="1" applyAlignment="1">
      <alignment vertical="center"/>
    </xf>
    <xf numFmtId="49" fontId="43" fillId="7" borderId="20" xfId="0" applyNumberFormat="1" applyFont="1" applyFill="1" applyBorder="1" applyAlignment="1">
      <alignment horizontal="center" vertical="center" wrapText="1"/>
    </xf>
    <xf numFmtId="49" fontId="43" fillId="7" borderId="4" xfId="0" applyNumberFormat="1" applyFont="1" applyFill="1" applyBorder="1" applyAlignment="1">
      <alignment horizontal="center" vertical="center" wrapText="1"/>
    </xf>
    <xf numFmtId="49" fontId="43" fillId="7" borderId="25" xfId="0" applyNumberFormat="1" applyFont="1" applyFill="1" applyBorder="1" applyAlignment="1">
      <alignment horizontal="center" vertical="center" wrapText="1"/>
    </xf>
    <xf numFmtId="49" fontId="43" fillId="11" borderId="30" xfId="0" applyNumberFormat="1" applyFont="1" applyFill="1" applyBorder="1" applyAlignment="1">
      <alignment horizontal="center" vertical="center" wrapText="1"/>
    </xf>
    <xf numFmtId="49" fontId="43" fillId="7" borderId="17" xfId="0" applyNumberFormat="1" applyFont="1" applyFill="1" applyBorder="1" applyAlignment="1">
      <alignment horizontal="center" vertical="center" wrapText="1"/>
    </xf>
    <xf numFmtId="49" fontId="43" fillId="7" borderId="30" xfId="0" applyNumberFormat="1" applyFont="1" applyFill="1" applyBorder="1" applyAlignment="1">
      <alignment horizontal="center" vertical="center" wrapText="1"/>
    </xf>
    <xf numFmtId="49" fontId="40" fillId="9" borderId="22" xfId="0" applyNumberFormat="1" applyFont="1" applyFill="1" applyBorder="1" applyAlignment="1" applyProtection="1">
      <alignment horizontal="center"/>
      <protection locked="0"/>
    </xf>
    <xf numFmtId="49" fontId="43" fillId="7" borderId="1" xfId="0" applyNumberFormat="1" applyFont="1" applyFill="1" applyBorder="1" applyAlignment="1">
      <alignment horizontal="center" vertical="center" wrapText="1"/>
    </xf>
    <xf numFmtId="49" fontId="43" fillId="7" borderId="64" xfId="0" applyNumberFormat="1" applyFont="1" applyFill="1" applyBorder="1" applyAlignment="1">
      <alignment horizontal="center" vertical="center" wrapText="1"/>
    </xf>
    <xf numFmtId="49" fontId="43" fillId="7" borderId="65" xfId="0" applyNumberFormat="1" applyFont="1" applyFill="1" applyBorder="1" applyAlignment="1">
      <alignment horizontal="center" vertical="center" wrapText="1"/>
    </xf>
    <xf numFmtId="49" fontId="43" fillId="7" borderId="66" xfId="0" applyNumberFormat="1" applyFont="1" applyFill="1" applyBorder="1" applyAlignment="1">
      <alignment horizontal="center" vertical="center" wrapText="1"/>
    </xf>
    <xf numFmtId="14" fontId="16" fillId="9" borderId="22" xfId="0" applyNumberFormat="1" applyFont="1" applyFill="1" applyBorder="1" applyAlignment="1">
      <alignment horizontal="center" vertical="center" wrapText="1"/>
    </xf>
    <xf numFmtId="14" fontId="41" fillId="9" borderId="1" xfId="0" applyNumberFormat="1" applyFont="1" applyFill="1" applyBorder="1" applyAlignment="1">
      <alignment horizontal="center" vertical="center" wrapText="1"/>
    </xf>
    <xf numFmtId="14" fontId="41" fillId="9" borderId="60" xfId="0" applyNumberFormat="1" applyFont="1" applyFill="1" applyBorder="1" applyAlignment="1">
      <alignment horizontal="center" vertical="center" wrapText="1"/>
    </xf>
    <xf numFmtId="49" fontId="43" fillId="7" borderId="67" xfId="0" applyNumberFormat="1" applyFont="1" applyFill="1" applyBorder="1" applyAlignment="1">
      <alignment horizontal="center" vertical="center" wrapText="1"/>
    </xf>
    <xf numFmtId="49" fontId="43" fillId="7" borderId="68" xfId="0" applyNumberFormat="1" applyFont="1" applyFill="1" applyBorder="1" applyAlignment="1">
      <alignment horizontal="center" vertical="center" wrapText="1"/>
    </xf>
    <xf numFmtId="49" fontId="40" fillId="9" borderId="42" xfId="0" applyNumberFormat="1" applyFont="1" applyFill="1" applyBorder="1" applyProtection="1">
      <protection locked="0"/>
    </xf>
    <xf numFmtId="49" fontId="40" fillId="9" borderId="21" xfId="0" applyNumberFormat="1" applyFont="1" applyFill="1" applyBorder="1" applyAlignment="1" applyProtection="1">
      <alignment horizontal="center"/>
      <protection locked="0"/>
    </xf>
    <xf numFmtId="49" fontId="40" fillId="9" borderId="26" xfId="0" applyNumberFormat="1" applyFont="1" applyFill="1" applyBorder="1" applyAlignment="1" applyProtection="1">
      <alignment horizontal="center"/>
      <protection locked="0"/>
    </xf>
    <xf numFmtId="41" fontId="86" fillId="7" borderId="7" xfId="0" applyNumberFormat="1" applyFont="1" applyFill="1" applyBorder="1" applyAlignment="1">
      <alignment vertical="center"/>
    </xf>
    <xf numFmtId="0" fontId="70" fillId="0" borderId="0" xfId="0" applyFont="1" applyAlignment="1">
      <alignment horizontal="center" vertical="center"/>
    </xf>
    <xf numFmtId="0" fontId="71" fillId="0" borderId="48" xfId="0" applyFont="1" applyBorder="1" applyAlignment="1">
      <alignment horizontal="center" vertical="center" textRotation="90" wrapText="1"/>
    </xf>
    <xf numFmtId="0" fontId="71" fillId="0" borderId="49" xfId="0" applyFont="1" applyBorder="1" applyAlignment="1">
      <alignment horizontal="center" vertical="center" textRotation="90" wrapText="1"/>
    </xf>
    <xf numFmtId="0" fontId="71" fillId="0" borderId="56" xfId="0" applyFont="1" applyBorder="1" applyAlignment="1">
      <alignment horizontal="center" vertical="center" textRotation="90" wrapText="1"/>
    </xf>
    <xf numFmtId="0" fontId="71" fillId="0" borderId="55" xfId="0" applyFont="1" applyBorder="1" applyAlignment="1">
      <alignment horizontal="center" vertical="center" textRotation="90" wrapText="1"/>
    </xf>
    <xf numFmtId="0" fontId="72" fillId="13" borderId="6" xfId="0" applyFont="1" applyFill="1" applyBorder="1" applyAlignment="1">
      <alignment horizontal="center" vertical="center"/>
    </xf>
    <xf numFmtId="0" fontId="72" fillId="13" borderId="10" xfId="0" applyFont="1" applyFill="1" applyBorder="1" applyAlignment="1">
      <alignment horizontal="center" vertical="center"/>
    </xf>
    <xf numFmtId="0" fontId="72" fillId="13" borderId="3" xfId="0" applyFont="1" applyFill="1" applyBorder="1" applyAlignment="1">
      <alignment horizontal="center" vertical="center"/>
    </xf>
    <xf numFmtId="0" fontId="72" fillId="13" borderId="57" xfId="0" applyFont="1" applyFill="1" applyBorder="1" applyAlignment="1">
      <alignment horizontal="center" vertical="center"/>
    </xf>
    <xf numFmtId="49" fontId="59" fillId="12" borderId="32" xfId="0" applyNumberFormat="1" applyFont="1" applyFill="1" applyBorder="1" applyAlignment="1">
      <alignment horizontal="center" vertical="center"/>
    </xf>
    <xf numFmtId="49" fontId="59" fillId="12" borderId="20" xfId="0" applyNumberFormat="1" applyFont="1" applyFill="1" applyBorder="1" applyAlignment="1">
      <alignment horizontal="center" vertical="center"/>
    </xf>
    <xf numFmtId="49" fontId="59" fillId="12" borderId="31" xfId="0" applyNumberFormat="1" applyFont="1" applyFill="1" applyBorder="1" applyAlignment="1">
      <alignment horizontal="center" vertical="center"/>
    </xf>
    <xf numFmtId="0" fontId="59" fillId="12" borderId="20" xfId="0" applyFont="1" applyFill="1" applyBorder="1" applyAlignment="1">
      <alignment horizontal="center" vertical="center"/>
    </xf>
    <xf numFmtId="49" fontId="59" fillId="12" borderId="51" xfId="0" applyNumberFormat="1" applyFont="1" applyFill="1" applyBorder="1" applyAlignment="1">
      <alignment horizontal="center" vertical="center"/>
    </xf>
    <xf numFmtId="0" fontId="59" fillId="12" borderId="42" xfId="0" applyFont="1" applyFill="1" applyBorder="1" applyAlignment="1">
      <alignment horizontal="center" vertical="center"/>
    </xf>
    <xf numFmtId="0" fontId="59" fillId="12" borderId="19" xfId="0" applyFont="1" applyFill="1" applyBorder="1" applyAlignment="1">
      <alignment horizontal="center" vertical="center"/>
    </xf>
    <xf numFmtId="0" fontId="59" fillId="12" borderId="21" xfId="0" applyFont="1" applyFill="1" applyBorder="1" applyAlignment="1">
      <alignment horizontal="center" vertical="center"/>
    </xf>
    <xf numFmtId="0" fontId="59" fillId="12" borderId="34" xfId="0" applyFont="1" applyFill="1" applyBorder="1" applyAlignment="1">
      <alignment horizontal="center" vertical="center"/>
    </xf>
    <xf numFmtId="0" fontId="59" fillId="12" borderId="38" xfId="0" applyFont="1" applyFill="1" applyBorder="1" applyAlignment="1">
      <alignment horizontal="center" vertical="center"/>
    </xf>
    <xf numFmtId="49" fontId="60" fillId="2" borderId="5" xfId="0" applyNumberFormat="1" applyFont="1" applyFill="1" applyBorder="1" applyAlignment="1" applyProtection="1">
      <alignment horizontal="center" vertical="center" wrapText="1"/>
      <protection locked="0"/>
    </xf>
    <xf numFmtId="49" fontId="60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60" fillId="0" borderId="1" xfId="0" applyNumberFormat="1" applyFont="1" applyBorder="1" applyAlignment="1">
      <alignment horizontal="center" vertical="center" wrapText="1"/>
    </xf>
    <xf numFmtId="49" fontId="12" fillId="7" borderId="31" xfId="0" applyNumberFormat="1" applyFont="1" applyFill="1" applyBorder="1" applyAlignment="1">
      <alignment horizontal="center" vertical="top"/>
    </xf>
    <xf numFmtId="49" fontId="12" fillId="7" borderId="32" xfId="0" applyNumberFormat="1" applyFont="1" applyFill="1" applyBorder="1" applyAlignment="1">
      <alignment horizontal="center" vertical="top"/>
    </xf>
    <xf numFmtId="0" fontId="12" fillId="7" borderId="20" xfId="0" applyFont="1" applyFill="1" applyBorder="1" applyAlignment="1">
      <alignment horizontal="center" vertical="top"/>
    </xf>
    <xf numFmtId="49" fontId="11" fillId="6" borderId="47" xfId="0" applyNumberFormat="1" applyFont="1" applyFill="1" applyBorder="1" applyAlignment="1">
      <alignment horizontal="justify" vertical="center" wrapText="1"/>
    </xf>
    <xf numFmtId="49" fontId="11" fillId="6" borderId="35" xfId="0" applyNumberFormat="1" applyFont="1" applyFill="1" applyBorder="1" applyAlignment="1">
      <alignment horizontal="justify" vertical="center" wrapText="1"/>
    </xf>
    <xf numFmtId="49" fontId="11" fillId="6" borderId="54" xfId="0" applyNumberFormat="1" applyFont="1" applyFill="1" applyBorder="1" applyAlignment="1">
      <alignment horizontal="justify" vertical="center" wrapText="1"/>
    </xf>
    <xf numFmtId="49" fontId="58" fillId="8" borderId="12" xfId="0" applyNumberFormat="1" applyFont="1" applyFill="1" applyBorder="1" applyAlignment="1">
      <alignment horizontal="center" vertical="center"/>
    </xf>
    <xf numFmtId="49" fontId="58" fillId="8" borderId="17" xfId="0" applyNumberFormat="1" applyFont="1" applyFill="1" applyBorder="1" applyAlignment="1">
      <alignment horizontal="center" vertical="center"/>
    </xf>
    <xf numFmtId="49" fontId="58" fillId="8" borderId="4" xfId="0" applyNumberFormat="1" applyFont="1" applyFill="1" applyBorder="1" applyAlignment="1">
      <alignment horizontal="center" vertical="center"/>
    </xf>
    <xf numFmtId="49" fontId="58" fillId="8" borderId="5" xfId="0" applyNumberFormat="1" applyFont="1" applyFill="1" applyBorder="1" applyAlignment="1">
      <alignment horizontal="center" vertical="center" wrapText="1"/>
    </xf>
    <xf numFmtId="49" fontId="58" fillId="8" borderId="9" xfId="0" applyNumberFormat="1" applyFont="1" applyFill="1" applyBorder="1" applyAlignment="1">
      <alignment horizontal="center" vertical="center" wrapText="1"/>
    </xf>
    <xf numFmtId="49" fontId="58" fillId="8" borderId="1" xfId="0" applyNumberFormat="1" applyFont="1" applyFill="1" applyBorder="1" applyAlignment="1">
      <alignment horizontal="center" vertical="center" wrapText="1"/>
    </xf>
    <xf numFmtId="49" fontId="58" fillId="8" borderId="5" xfId="0" applyNumberFormat="1" applyFont="1" applyFill="1" applyBorder="1" applyAlignment="1">
      <alignment horizontal="center" vertical="center"/>
    </xf>
    <xf numFmtId="49" fontId="58" fillId="8" borderId="9" xfId="0" applyNumberFormat="1" applyFont="1" applyFill="1" applyBorder="1" applyAlignment="1">
      <alignment horizontal="center" vertical="center"/>
    </xf>
    <xf numFmtId="49" fontId="58" fillId="8" borderId="1" xfId="0" applyNumberFormat="1" applyFont="1" applyFill="1" applyBorder="1" applyAlignment="1">
      <alignment horizontal="center" vertical="center"/>
    </xf>
    <xf numFmtId="3" fontId="58" fillId="2" borderId="18" xfId="0" applyNumberFormat="1" applyFont="1" applyFill="1" applyBorder="1" applyAlignment="1" applyProtection="1">
      <alignment horizontal="center" vertical="center"/>
      <protection locked="0"/>
    </xf>
    <xf numFmtId="3" fontId="58" fillId="2" borderId="9" xfId="0" applyNumberFormat="1" applyFont="1" applyFill="1" applyBorder="1" applyAlignment="1" applyProtection="1">
      <alignment horizontal="center" vertical="center"/>
      <protection locked="0"/>
    </xf>
    <xf numFmtId="3" fontId="58" fillId="2" borderId="1" xfId="0" applyNumberFormat="1" applyFont="1" applyFill="1" applyBorder="1" applyAlignment="1" applyProtection="1">
      <alignment horizontal="center" vertical="center"/>
      <protection locked="0"/>
    </xf>
    <xf numFmtId="49" fontId="11" fillId="6" borderId="37" xfId="0" applyNumberFormat="1" applyFont="1" applyFill="1" applyBorder="1" applyAlignment="1">
      <alignment horizontal="justify" vertical="center" wrapText="1"/>
    </xf>
    <xf numFmtId="168" fontId="76" fillId="5" borderId="9" xfId="0" applyNumberFormat="1" applyFont="1" applyFill="1" applyBorder="1" applyAlignment="1" applyProtection="1">
      <alignment horizontal="center" vertical="center"/>
      <protection locked="0"/>
    </xf>
    <xf numFmtId="168" fontId="76" fillId="5" borderId="1" xfId="0" applyNumberFormat="1" applyFont="1" applyFill="1" applyBorder="1" applyAlignment="1" applyProtection="1">
      <alignment horizontal="center" vertical="center"/>
      <protection locked="0"/>
    </xf>
    <xf numFmtId="49" fontId="58" fillId="2" borderId="5" xfId="0" applyNumberFormat="1" applyFont="1" applyFill="1" applyBorder="1" applyAlignment="1" applyProtection="1">
      <alignment horizontal="center" vertical="center"/>
      <protection locked="0"/>
    </xf>
    <xf numFmtId="49" fontId="58" fillId="2" borderId="9" xfId="0" applyNumberFormat="1" applyFont="1" applyFill="1" applyBorder="1" applyAlignment="1" applyProtection="1">
      <alignment horizontal="center" vertical="center"/>
      <protection locked="0"/>
    </xf>
    <xf numFmtId="49" fontId="58" fillId="2" borderId="1" xfId="0" applyNumberFormat="1" applyFont="1" applyFill="1" applyBorder="1" applyAlignment="1" applyProtection="1">
      <alignment horizontal="center" vertical="center"/>
      <protection locked="0"/>
    </xf>
    <xf numFmtId="14" fontId="58" fillId="2" borderId="9" xfId="0" applyNumberFormat="1" applyFont="1" applyFill="1" applyBorder="1" applyAlignment="1" applyProtection="1">
      <alignment horizontal="center" vertical="center"/>
      <protection locked="0"/>
    </xf>
    <xf numFmtId="14" fontId="58" fillId="2" borderId="1" xfId="0" applyNumberFormat="1" applyFont="1" applyFill="1" applyBorder="1" applyAlignment="1" applyProtection="1">
      <alignment horizontal="center" vertical="center"/>
      <protection locked="0"/>
    </xf>
    <xf numFmtId="14" fontId="58" fillId="2" borderId="5" xfId="0" applyNumberFormat="1" applyFont="1" applyFill="1" applyBorder="1" applyAlignment="1" applyProtection="1">
      <alignment horizontal="center" vertical="center"/>
      <protection locked="0"/>
    </xf>
    <xf numFmtId="167" fontId="58" fillId="2" borderId="9" xfId="0" applyNumberFormat="1" applyFont="1" applyFill="1" applyBorder="1" applyAlignment="1" applyProtection="1">
      <alignment horizontal="center" vertical="center"/>
      <protection locked="0"/>
    </xf>
    <xf numFmtId="167" fontId="58" fillId="2" borderId="1" xfId="0" applyNumberFormat="1" applyFont="1" applyFill="1" applyBorder="1" applyAlignment="1" applyProtection="1">
      <alignment horizontal="center" vertical="center"/>
      <protection locked="0"/>
    </xf>
    <xf numFmtId="167" fontId="58" fillId="2" borderId="5" xfId="0" applyNumberFormat="1" applyFont="1" applyFill="1" applyBorder="1" applyAlignment="1" applyProtection="1">
      <alignment horizontal="center" vertical="center"/>
      <protection locked="0"/>
    </xf>
    <xf numFmtId="49" fontId="57" fillId="8" borderId="6" xfId="0" applyNumberFormat="1" applyFont="1" applyFill="1" applyBorder="1" applyAlignment="1">
      <alignment wrapText="1"/>
    </xf>
    <xf numFmtId="49" fontId="57" fillId="8" borderId="10" xfId="0" applyNumberFormat="1" applyFont="1" applyFill="1" applyBorder="1" applyAlignment="1">
      <alignment wrapText="1"/>
    </xf>
    <xf numFmtId="49" fontId="57" fillId="8" borderId="3" xfId="0" applyNumberFormat="1" applyFont="1" applyFill="1" applyBorder="1" applyAlignment="1">
      <alignment wrapText="1"/>
    </xf>
    <xf numFmtId="49" fontId="12" fillId="7" borderId="53" xfId="0" applyNumberFormat="1" applyFont="1" applyFill="1" applyBorder="1" applyAlignment="1">
      <alignment horizontal="center" vertical="top"/>
    </xf>
    <xf numFmtId="49" fontId="12" fillId="7" borderId="20" xfId="0" applyNumberFormat="1" applyFont="1" applyFill="1" applyBorder="1" applyAlignment="1">
      <alignment horizontal="center" vertical="top"/>
    </xf>
    <xf numFmtId="49" fontId="11" fillId="0" borderId="15" xfId="0" applyNumberFormat="1" applyFont="1" applyBorder="1" applyAlignment="1">
      <alignment horizontal="center"/>
    </xf>
    <xf numFmtId="49" fontId="11" fillId="0" borderId="10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57" fillId="8" borderId="6" xfId="0" applyNumberFormat="1" applyFont="1" applyFill="1" applyBorder="1" applyAlignment="1">
      <alignment vertical="center"/>
    </xf>
    <xf numFmtId="49" fontId="57" fillId="8" borderId="10" xfId="0" applyNumberFormat="1" applyFont="1" applyFill="1" applyBorder="1" applyAlignment="1">
      <alignment vertical="center"/>
    </xf>
    <xf numFmtId="49" fontId="57" fillId="8" borderId="3" xfId="0" applyNumberFormat="1" applyFont="1" applyFill="1" applyBorder="1" applyAlignment="1">
      <alignment vertical="center"/>
    </xf>
    <xf numFmtId="49" fontId="12" fillId="7" borderId="6" xfId="0" applyNumberFormat="1" applyFont="1" applyFill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11" fillId="7" borderId="3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  <xf numFmtId="49" fontId="12" fillId="7" borderId="11" xfId="0" applyNumberFormat="1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1" fillId="7" borderId="12" xfId="0" applyFont="1" applyFill="1" applyBorder="1" applyAlignment="1">
      <alignment horizontal="center" vertical="center"/>
    </xf>
    <xf numFmtId="0" fontId="11" fillId="7" borderId="16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1" fillId="7" borderId="17" xfId="0" applyFont="1" applyFill="1" applyBorder="1" applyAlignment="1">
      <alignment horizontal="center" vertical="center"/>
    </xf>
    <xf numFmtId="0" fontId="11" fillId="7" borderId="13" xfId="0" applyFont="1" applyFill="1" applyBorder="1" applyAlignment="1">
      <alignment horizontal="center" vertical="center"/>
    </xf>
    <xf numFmtId="0" fontId="11" fillId="7" borderId="14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49" fontId="12" fillId="7" borderId="31" xfId="0" applyNumberFormat="1" applyFont="1" applyFill="1" applyBorder="1" applyAlignment="1">
      <alignment horizontal="center" vertical="top" wrapText="1"/>
    </xf>
    <xf numFmtId="49" fontId="12" fillId="7" borderId="51" xfId="0" applyNumberFormat="1" applyFont="1" applyFill="1" applyBorder="1" applyAlignment="1">
      <alignment horizontal="center" vertical="top" wrapText="1"/>
    </xf>
    <xf numFmtId="0" fontId="11" fillId="6" borderId="36" xfId="0" applyFont="1" applyFill="1" applyBorder="1" applyAlignment="1">
      <alignment horizontal="left" vertical="center" wrapText="1" indent="1"/>
    </xf>
    <xf numFmtId="0" fontId="11" fillId="6" borderId="37" xfId="0" applyFont="1" applyFill="1" applyBorder="1" applyAlignment="1">
      <alignment horizontal="left" vertical="center" wrapText="1" indent="1"/>
    </xf>
    <xf numFmtId="49" fontId="58" fillId="2" borderId="12" xfId="0" applyNumberFormat="1" applyFont="1" applyFill="1" applyBorder="1" applyAlignment="1" applyProtection="1">
      <alignment horizontal="center" vertical="center"/>
      <protection locked="0"/>
    </xf>
    <xf numFmtId="49" fontId="58" fillId="2" borderId="17" xfId="0" applyNumberFormat="1" applyFont="1" applyFill="1" applyBorder="1" applyAlignment="1" applyProtection="1">
      <alignment horizontal="center" vertical="center"/>
      <protection locked="0"/>
    </xf>
    <xf numFmtId="49" fontId="58" fillId="2" borderId="4" xfId="0" applyNumberFormat="1" applyFont="1" applyFill="1" applyBorder="1" applyAlignment="1" applyProtection="1">
      <alignment horizontal="center" vertical="center"/>
      <protection locked="0"/>
    </xf>
    <xf numFmtId="49" fontId="12" fillId="7" borderId="20" xfId="0" applyNumberFormat="1" applyFont="1" applyFill="1" applyBorder="1" applyAlignment="1">
      <alignment horizontal="center" vertical="top" wrapText="1"/>
    </xf>
    <xf numFmtId="49" fontId="12" fillId="7" borderId="32" xfId="0" applyNumberFormat="1" applyFont="1" applyFill="1" applyBorder="1" applyAlignment="1">
      <alignment horizontal="center" vertical="top" wrapText="1"/>
    </xf>
    <xf numFmtId="49" fontId="11" fillId="0" borderId="6" xfId="0" applyNumberFormat="1" applyFont="1" applyBorder="1" applyAlignment="1">
      <alignment horizontal="center"/>
    </xf>
    <xf numFmtId="41" fontId="85" fillId="9" borderId="19" xfId="0" applyNumberFormat="1" applyFont="1" applyFill="1" applyBorder="1" applyAlignment="1">
      <alignment horizontal="center" vertical="center" wrapText="1"/>
    </xf>
    <xf numFmtId="41" fontId="85" fillId="9" borderId="2" xfId="0" applyNumberFormat="1" applyFont="1" applyFill="1" applyBorder="1" applyAlignment="1">
      <alignment horizontal="center" vertical="center" wrapText="1"/>
    </xf>
    <xf numFmtId="41" fontId="85" fillId="9" borderId="24" xfId="0" applyNumberFormat="1" applyFont="1" applyFill="1" applyBorder="1" applyAlignment="1">
      <alignment horizontal="center" vertical="center" wrapText="1"/>
    </xf>
    <xf numFmtId="41" fontId="85" fillId="9" borderId="5" xfId="0" applyNumberFormat="1" applyFont="1" applyFill="1" applyBorder="1" applyAlignment="1">
      <alignment horizontal="center" vertical="center" wrapText="1"/>
    </xf>
    <xf numFmtId="49" fontId="31" fillId="9" borderId="5" xfId="0" applyNumberFormat="1" applyFont="1" applyFill="1" applyBorder="1" applyAlignment="1" applyProtection="1">
      <alignment horizontal="center" vertical="center" wrapText="1"/>
      <protection locked="0"/>
    </xf>
    <xf numFmtId="49" fontId="31" fillId="9" borderId="9" xfId="0" applyNumberFormat="1" applyFont="1" applyFill="1" applyBorder="1" applyAlignment="1" applyProtection="1">
      <alignment horizontal="center" vertical="center" wrapText="1"/>
      <protection locked="0"/>
    </xf>
    <xf numFmtId="49" fontId="19" fillId="9" borderId="1" xfId="0" applyNumberFormat="1" applyFont="1" applyFill="1" applyBorder="1" applyAlignment="1">
      <alignment horizontal="center" vertical="center" wrapText="1"/>
    </xf>
    <xf numFmtId="49" fontId="83" fillId="9" borderId="42" xfId="0" applyNumberFormat="1" applyFont="1" applyFill="1" applyBorder="1" applyAlignment="1" applyProtection="1">
      <alignment horizontal="center"/>
      <protection locked="0"/>
    </xf>
    <xf numFmtId="49" fontId="83" fillId="9" borderId="43" xfId="0" applyNumberFormat="1" applyFont="1" applyFill="1" applyBorder="1" applyAlignment="1" applyProtection="1">
      <alignment horizontal="center"/>
      <protection locked="0"/>
    </xf>
    <xf numFmtId="49" fontId="83" fillId="9" borderId="55" xfId="0" applyNumberFormat="1" applyFont="1" applyFill="1" applyBorder="1" applyAlignment="1" applyProtection="1">
      <alignment horizontal="center"/>
      <protection locked="0"/>
    </xf>
    <xf numFmtId="49" fontId="84" fillId="9" borderId="19" xfId="0" applyNumberFormat="1" applyFont="1" applyFill="1" applyBorder="1" applyAlignment="1" applyProtection="1">
      <alignment horizontal="center" vertical="center"/>
      <protection locked="0"/>
    </xf>
    <xf numFmtId="49" fontId="84" fillId="9" borderId="2" xfId="0" applyNumberFormat="1" applyFont="1" applyFill="1" applyBorder="1" applyAlignment="1" applyProtection="1">
      <alignment horizontal="center" vertical="center"/>
      <protection locked="0"/>
    </xf>
    <xf numFmtId="49" fontId="84" fillId="9" borderId="24" xfId="0" applyNumberFormat="1" applyFont="1" applyFill="1" applyBorder="1" applyAlignment="1" applyProtection="1">
      <alignment horizontal="center" vertical="center"/>
      <protection locked="0"/>
    </xf>
    <xf numFmtId="49" fontId="31" fillId="9" borderId="36" xfId="0" applyNumberFormat="1" applyFont="1" applyFill="1" applyBorder="1" applyAlignment="1" applyProtection="1">
      <alignment horizontal="center" vertical="center"/>
      <protection locked="0"/>
    </xf>
    <xf numFmtId="49" fontId="31" fillId="9" borderId="37" xfId="0" applyNumberFormat="1" applyFont="1" applyFill="1" applyBorder="1" applyAlignment="1" applyProtection="1">
      <alignment horizontal="center" vertical="center"/>
      <protection locked="0"/>
    </xf>
    <xf numFmtId="49" fontId="31" fillId="9" borderId="47" xfId="0" applyNumberFormat="1" applyFont="1" applyFill="1" applyBorder="1" applyAlignment="1" applyProtection="1">
      <alignment horizontal="center" vertical="center"/>
      <protection locked="0"/>
    </xf>
    <xf numFmtId="49" fontId="33" fillId="9" borderId="19" xfId="0" applyNumberFormat="1" applyFont="1" applyFill="1" applyBorder="1" applyAlignment="1" applyProtection="1">
      <alignment horizontal="center" vertical="center"/>
      <protection locked="0"/>
    </xf>
    <xf numFmtId="49" fontId="33" fillId="9" borderId="2" xfId="0" applyNumberFormat="1" applyFont="1" applyFill="1" applyBorder="1" applyAlignment="1" applyProtection="1">
      <alignment horizontal="center" vertical="center"/>
      <protection locked="0"/>
    </xf>
    <xf numFmtId="49" fontId="33" fillId="9" borderId="24" xfId="0" applyNumberFormat="1" applyFont="1" applyFill="1" applyBorder="1" applyAlignment="1" applyProtection="1">
      <alignment horizontal="center" vertical="center"/>
      <protection locked="0"/>
    </xf>
    <xf numFmtId="0" fontId="37" fillId="0" borderId="45" xfId="0" applyFont="1" applyBorder="1" applyAlignment="1">
      <alignment horizontal="left" vertical="center" wrapText="1"/>
    </xf>
    <xf numFmtId="0" fontId="37" fillId="0" borderId="46" xfId="0" applyFont="1" applyBorder="1" applyAlignment="1">
      <alignment horizontal="left" vertical="center" wrapText="1"/>
    </xf>
    <xf numFmtId="49" fontId="31" fillId="0" borderId="37" xfId="0" applyNumberFormat="1" applyFont="1" applyBorder="1" applyAlignment="1" applyProtection="1">
      <alignment horizontal="center" vertical="center"/>
      <protection locked="0"/>
    </xf>
    <xf numFmtId="49" fontId="31" fillId="0" borderId="41" xfId="0" applyNumberFormat="1" applyFont="1" applyBorder="1" applyAlignment="1" applyProtection="1">
      <alignment horizontal="center" vertical="center"/>
      <protection locked="0"/>
    </xf>
    <xf numFmtId="49" fontId="33" fillId="9" borderId="18" xfId="0" applyNumberFormat="1" applyFont="1" applyFill="1" applyBorder="1" applyAlignment="1" applyProtection="1">
      <alignment horizontal="center" vertical="center"/>
      <protection locked="0"/>
    </xf>
    <xf numFmtId="49" fontId="33" fillId="9" borderId="9" xfId="0" applyNumberFormat="1" applyFont="1" applyFill="1" applyBorder="1" applyAlignment="1" applyProtection="1">
      <alignment horizontal="center" vertical="center"/>
      <protection locked="0"/>
    </xf>
    <xf numFmtId="49" fontId="33" fillId="9" borderId="23" xfId="0" applyNumberFormat="1" applyFont="1" applyFill="1" applyBorder="1" applyAlignment="1" applyProtection="1">
      <alignment horizontal="center" vertical="center"/>
      <protection locked="0"/>
    </xf>
    <xf numFmtId="41" fontId="85" fillId="9" borderId="18" xfId="0" applyNumberFormat="1" applyFont="1" applyFill="1" applyBorder="1" applyAlignment="1" applyProtection="1">
      <alignment horizontal="center" vertical="center"/>
      <protection locked="0"/>
    </xf>
    <xf numFmtId="41" fontId="85" fillId="9" borderId="9" xfId="0" applyNumberFormat="1" applyFont="1" applyFill="1" applyBorder="1" applyAlignment="1" applyProtection="1">
      <alignment horizontal="center" vertical="center"/>
      <protection locked="0"/>
    </xf>
    <xf numFmtId="41" fontId="85" fillId="9" borderId="23" xfId="0" applyNumberFormat="1" applyFont="1" applyFill="1" applyBorder="1" applyAlignment="1" applyProtection="1">
      <alignment horizontal="center" vertical="center"/>
      <protection locked="0"/>
    </xf>
    <xf numFmtId="41" fontId="85" fillId="9" borderId="18" xfId="2" applyNumberFormat="1" applyFont="1" applyFill="1" applyBorder="1" applyAlignment="1" applyProtection="1">
      <alignment horizontal="center" vertical="center"/>
      <protection locked="0"/>
    </xf>
    <xf numFmtId="41" fontId="85" fillId="9" borderId="9" xfId="2" applyNumberFormat="1" applyFont="1" applyFill="1" applyBorder="1" applyAlignment="1" applyProtection="1">
      <alignment horizontal="center" vertical="center"/>
      <protection locked="0"/>
    </xf>
    <xf numFmtId="41" fontId="85" fillId="9" borderId="23" xfId="2" applyNumberFormat="1" applyFont="1" applyFill="1" applyBorder="1" applyAlignment="1" applyProtection="1">
      <alignment horizontal="center" vertical="center"/>
      <protection locked="0"/>
    </xf>
    <xf numFmtId="166" fontId="33" fillId="0" borderId="37" xfId="0" applyNumberFormat="1" applyFont="1" applyBorder="1" applyAlignment="1">
      <alignment horizontal="center" vertical="center"/>
    </xf>
    <xf numFmtId="166" fontId="33" fillId="0" borderId="47" xfId="0" applyNumberFormat="1" applyFont="1" applyBorder="1" applyAlignment="1">
      <alignment horizontal="center" vertical="center"/>
    </xf>
    <xf numFmtId="49" fontId="33" fillId="0" borderId="2" xfId="0" applyNumberFormat="1" applyFont="1" applyBorder="1" applyAlignment="1" applyProtection="1">
      <alignment horizontal="center" vertical="center"/>
      <protection locked="0"/>
    </xf>
    <xf numFmtId="49" fontId="33" fillId="0" borderId="24" xfId="0" applyNumberFormat="1" applyFont="1" applyBorder="1" applyAlignment="1" applyProtection="1">
      <alignment horizontal="center" vertical="center"/>
      <protection locked="0"/>
    </xf>
    <xf numFmtId="49" fontId="83" fillId="0" borderId="48" xfId="0" applyNumberFormat="1" applyFont="1" applyBorder="1" applyAlignment="1" applyProtection="1">
      <alignment horizontal="center"/>
      <protection locked="0"/>
    </xf>
    <xf numFmtId="49" fontId="83" fillId="0" borderId="49" xfId="0" applyNumberFormat="1" applyFont="1" applyBorder="1" applyAlignment="1" applyProtection="1">
      <alignment horizontal="center"/>
      <protection locked="0"/>
    </xf>
    <xf numFmtId="49" fontId="83" fillId="0" borderId="50" xfId="0" applyNumberFormat="1" applyFont="1" applyBorder="1" applyAlignment="1" applyProtection="1">
      <alignment horizontal="center"/>
      <protection locked="0"/>
    </xf>
    <xf numFmtId="49" fontId="33" fillId="0" borderId="18" xfId="0" applyNumberFormat="1" applyFont="1" applyBorder="1" applyAlignment="1" applyProtection="1">
      <alignment horizontal="center" vertical="center"/>
      <protection locked="0"/>
    </xf>
    <xf numFmtId="49" fontId="33" fillId="0" borderId="9" xfId="0" applyNumberFormat="1" applyFont="1" applyBorder="1" applyAlignment="1" applyProtection="1">
      <alignment horizontal="center" vertical="center"/>
      <protection locked="0"/>
    </xf>
    <xf numFmtId="49" fontId="33" fillId="0" borderId="23" xfId="0" applyNumberFormat="1" applyFont="1" applyBorder="1" applyAlignment="1" applyProtection="1">
      <alignment horizontal="center" vertical="center"/>
      <protection locked="0"/>
    </xf>
    <xf numFmtId="49" fontId="19" fillId="7" borderId="31" xfId="0" applyNumberFormat="1" applyFont="1" applyFill="1" applyBorder="1" applyAlignment="1">
      <alignment horizontal="center" vertical="center" wrapText="1"/>
    </xf>
    <xf numFmtId="49" fontId="19" fillId="7" borderId="20" xfId="0" applyNumberFormat="1" applyFont="1" applyFill="1" applyBorder="1" applyAlignment="1">
      <alignment horizontal="center" vertical="center" wrapText="1"/>
    </xf>
    <xf numFmtId="49" fontId="19" fillId="7" borderId="31" xfId="0" applyNumberFormat="1" applyFont="1" applyFill="1" applyBorder="1" applyAlignment="1">
      <alignment horizontal="center" vertical="center"/>
    </xf>
    <xf numFmtId="49" fontId="19" fillId="7" borderId="32" xfId="0" applyNumberFormat="1" applyFont="1" applyFill="1" applyBorder="1" applyAlignment="1">
      <alignment horizontal="center" vertical="center"/>
    </xf>
    <xf numFmtId="49" fontId="19" fillId="7" borderId="20" xfId="0" applyNumberFormat="1" applyFont="1" applyFill="1" applyBorder="1" applyAlignment="1">
      <alignment horizontal="center" vertical="center"/>
    </xf>
    <xf numFmtId="49" fontId="84" fillId="9" borderId="20" xfId="0" applyNumberFormat="1" applyFont="1" applyFill="1" applyBorder="1" applyAlignment="1" applyProtection="1">
      <alignment horizontal="center" vertical="center"/>
      <protection locked="0"/>
    </xf>
    <xf numFmtId="49" fontId="84" fillId="9" borderId="3" xfId="0" applyNumberFormat="1" applyFont="1" applyFill="1" applyBorder="1" applyAlignment="1" applyProtection="1">
      <alignment horizontal="center" vertical="center"/>
      <protection locked="0"/>
    </xf>
    <xf numFmtId="49" fontId="84" fillId="9" borderId="25" xfId="0" applyNumberFormat="1" applyFont="1" applyFill="1" applyBorder="1" applyAlignment="1" applyProtection="1">
      <alignment horizontal="center" vertical="center"/>
      <protection locked="0"/>
    </xf>
    <xf numFmtId="49" fontId="19" fillId="7" borderId="32" xfId="0" applyNumberFormat="1" applyFont="1" applyFill="1" applyBorder="1" applyAlignment="1">
      <alignment horizontal="center" vertical="center" wrapText="1"/>
    </xf>
    <xf numFmtId="49" fontId="44" fillId="0" borderId="0" xfId="0" applyNumberFormat="1" applyFont="1" applyAlignment="1">
      <alignment horizontal="left" wrapText="1"/>
    </xf>
    <xf numFmtId="0" fontId="37" fillId="6" borderId="34" xfId="0" applyFont="1" applyFill="1" applyBorder="1" applyAlignment="1">
      <alignment horizontal="left" vertical="center" wrapText="1"/>
    </xf>
    <xf numFmtId="0" fontId="37" fillId="6" borderId="35" xfId="0" applyFont="1" applyFill="1" applyBorder="1" applyAlignment="1">
      <alignment horizontal="left" vertical="center" wrapText="1"/>
    </xf>
    <xf numFmtId="0" fontId="31" fillId="6" borderId="27" xfId="0" applyFont="1" applyFill="1" applyBorder="1" applyAlignment="1">
      <alignment horizontal="justify" vertical="center" wrapText="1"/>
    </xf>
    <xf numFmtId="0" fontId="31" fillId="6" borderId="28" xfId="0" applyFont="1" applyFill="1" applyBorder="1" applyAlignment="1">
      <alignment horizontal="justify" vertical="center" wrapText="1"/>
    </xf>
    <xf numFmtId="49" fontId="19" fillId="7" borderId="51" xfId="0" applyNumberFormat="1" applyFont="1" applyFill="1" applyBorder="1" applyAlignment="1">
      <alignment horizontal="center" vertical="center" wrapText="1"/>
    </xf>
    <xf numFmtId="0" fontId="19" fillId="7" borderId="20" xfId="0" applyFont="1" applyFill="1" applyBorder="1" applyAlignment="1">
      <alignment horizontal="center" vertical="center"/>
    </xf>
    <xf numFmtId="49" fontId="33" fillId="9" borderId="5" xfId="0" applyNumberFormat="1" applyFont="1" applyFill="1" applyBorder="1" applyAlignment="1" applyProtection="1">
      <alignment horizontal="center" vertical="center"/>
      <protection locked="0"/>
    </xf>
    <xf numFmtId="49" fontId="33" fillId="9" borderId="13" xfId="0" applyNumberFormat="1" applyFont="1" applyFill="1" applyBorder="1" applyAlignment="1" applyProtection="1">
      <alignment horizontal="center" vertical="center"/>
      <protection locked="0"/>
    </xf>
    <xf numFmtId="49" fontId="33" fillId="9" borderId="6" xfId="0" applyNumberFormat="1" applyFont="1" applyFill="1" applyBorder="1" applyAlignment="1" applyProtection="1">
      <alignment horizontal="center" vertical="center"/>
      <protection locked="0"/>
    </xf>
    <xf numFmtId="49" fontId="33" fillId="9" borderId="11" xfId="0" applyNumberFormat="1" applyFont="1" applyFill="1" applyBorder="1" applyAlignment="1" applyProtection="1">
      <alignment horizontal="center" vertical="center"/>
      <protection locked="0"/>
    </xf>
    <xf numFmtId="49" fontId="33" fillId="9" borderId="31" xfId="0" applyNumberFormat="1" applyFont="1" applyFill="1" applyBorder="1" applyAlignment="1" applyProtection="1">
      <alignment horizontal="center" vertical="center"/>
      <protection locked="0"/>
    </xf>
    <xf numFmtId="49" fontId="33" fillId="9" borderId="33" xfId="0" applyNumberFormat="1" applyFont="1" applyFill="1" applyBorder="1" applyAlignment="1" applyProtection="1">
      <alignment horizontal="center" vertical="center"/>
      <protection locked="0"/>
    </xf>
    <xf numFmtId="49" fontId="33" fillId="9" borderId="1" xfId="0" applyNumberFormat="1" applyFont="1" applyFill="1" applyBorder="1" applyAlignment="1" applyProtection="1">
      <alignment horizontal="center" vertical="center"/>
      <protection locked="0"/>
    </xf>
    <xf numFmtId="0" fontId="37" fillId="6" borderId="27" xfId="0" applyFont="1" applyFill="1" applyBorder="1" applyAlignment="1">
      <alignment horizontal="left" vertical="center" wrapText="1"/>
    </xf>
    <xf numFmtId="0" fontId="37" fillId="6" borderId="28" xfId="0" applyFont="1" applyFill="1" applyBorder="1" applyAlignment="1">
      <alignment horizontal="left" vertical="center" wrapText="1"/>
    </xf>
    <xf numFmtId="0" fontId="37" fillId="6" borderId="29" xfId="0" applyFont="1" applyFill="1" applyBorder="1" applyAlignment="1">
      <alignment horizontal="left" vertical="center" wrapText="1"/>
    </xf>
    <xf numFmtId="49" fontId="31" fillId="9" borderId="34" xfId="0" applyNumberFormat="1" applyFont="1" applyFill="1" applyBorder="1" applyAlignment="1" applyProtection="1">
      <alignment horizontal="center" vertical="center"/>
      <protection locked="0"/>
    </xf>
    <xf numFmtId="49" fontId="31" fillId="9" borderId="35" xfId="0" applyNumberFormat="1" applyFont="1" applyFill="1" applyBorder="1" applyAlignment="1" applyProtection="1">
      <alignment horizontal="center" vertical="center"/>
      <protection locked="0"/>
    </xf>
    <xf numFmtId="49" fontId="31" fillId="9" borderId="38" xfId="0" applyNumberFormat="1" applyFont="1" applyFill="1" applyBorder="1" applyAlignment="1" applyProtection="1">
      <alignment horizontal="center" vertical="center"/>
      <protection locked="0"/>
    </xf>
    <xf numFmtId="166" fontId="33" fillId="9" borderId="34" xfId="0" applyNumberFormat="1" applyFont="1" applyFill="1" applyBorder="1" applyAlignment="1">
      <alignment horizontal="center" vertical="center"/>
    </xf>
    <xf numFmtId="166" fontId="33" fillId="9" borderId="35" xfId="0" applyNumberFormat="1" applyFont="1" applyFill="1" applyBorder="1" applyAlignment="1">
      <alignment horizontal="center" vertical="center"/>
    </xf>
    <xf numFmtId="166" fontId="33" fillId="9" borderId="38" xfId="0" applyNumberFormat="1" applyFont="1" applyFill="1" applyBorder="1" applyAlignment="1">
      <alignment horizontal="center" vertical="center"/>
    </xf>
    <xf numFmtId="49" fontId="83" fillId="9" borderId="48" xfId="0" applyNumberFormat="1" applyFont="1" applyFill="1" applyBorder="1" applyAlignment="1" applyProtection="1">
      <alignment horizontal="center"/>
      <protection locked="0"/>
    </xf>
    <xf numFmtId="49" fontId="83" fillId="9" borderId="49" xfId="0" applyNumberFormat="1" applyFont="1" applyFill="1" applyBorder="1" applyAlignment="1" applyProtection="1">
      <alignment horizontal="center"/>
      <protection locked="0"/>
    </xf>
    <xf numFmtId="49" fontId="83" fillId="9" borderId="50" xfId="0" applyNumberFormat="1" applyFont="1" applyFill="1" applyBorder="1" applyAlignment="1" applyProtection="1">
      <alignment horizontal="center"/>
      <protection locked="0"/>
    </xf>
    <xf numFmtId="49" fontId="35" fillId="8" borderId="6" xfId="0" applyNumberFormat="1" applyFont="1" applyFill="1" applyBorder="1"/>
    <xf numFmtId="49" fontId="35" fillId="8" borderId="10" xfId="0" applyNumberFormat="1" applyFont="1" applyFill="1" applyBorder="1"/>
    <xf numFmtId="49" fontId="35" fillId="8" borderId="3" xfId="0" applyNumberFormat="1" applyFont="1" applyFill="1" applyBorder="1"/>
    <xf numFmtId="49" fontId="83" fillId="9" borderId="19" xfId="0" applyNumberFormat="1" applyFont="1" applyFill="1" applyBorder="1" applyAlignment="1" applyProtection="1">
      <alignment horizontal="center"/>
      <protection locked="0"/>
    </xf>
    <xf numFmtId="49" fontId="83" fillId="9" borderId="2" xfId="0" applyNumberFormat="1" applyFont="1" applyFill="1" applyBorder="1" applyAlignment="1" applyProtection="1">
      <alignment horizontal="center"/>
      <protection locked="0"/>
    </xf>
    <xf numFmtId="49" fontId="83" fillId="9" borderId="24" xfId="0" applyNumberFormat="1" applyFont="1" applyFill="1" applyBorder="1" applyAlignment="1" applyProtection="1">
      <alignment horizontal="center"/>
      <protection locked="0"/>
    </xf>
    <xf numFmtId="49" fontId="31" fillId="0" borderId="6" xfId="0" applyNumberFormat="1" applyFont="1" applyBorder="1" applyAlignment="1">
      <alignment horizontal="center"/>
    </xf>
    <xf numFmtId="49" fontId="31" fillId="0" borderId="10" xfId="0" applyNumberFormat="1" applyFont="1" applyBorder="1" applyAlignment="1">
      <alignment horizontal="center"/>
    </xf>
    <xf numFmtId="49" fontId="31" fillId="0" borderId="3" xfId="0" applyNumberFormat="1" applyFont="1" applyBorder="1" applyAlignment="1">
      <alignment horizontal="center"/>
    </xf>
    <xf numFmtId="49" fontId="32" fillId="0" borderId="0" xfId="0" applyNumberFormat="1" applyFont="1" applyAlignment="1">
      <alignment horizontal="center"/>
    </xf>
    <xf numFmtId="49" fontId="37" fillId="7" borderId="6" xfId="0" applyNumberFormat="1" applyFont="1" applyFill="1" applyBorder="1" applyAlignment="1">
      <alignment horizontal="center" vertical="center"/>
    </xf>
    <xf numFmtId="0" fontId="19" fillId="7" borderId="10" xfId="0" applyFont="1" applyFill="1" applyBorder="1" applyAlignment="1">
      <alignment horizontal="center" vertical="center"/>
    </xf>
    <xf numFmtId="0" fontId="19" fillId="7" borderId="3" xfId="0" applyFont="1" applyFill="1" applyBorder="1" applyAlignment="1">
      <alignment horizontal="center" vertical="center"/>
    </xf>
    <xf numFmtId="0" fontId="19" fillId="7" borderId="6" xfId="0" applyFont="1" applyFill="1" applyBorder="1" applyAlignment="1">
      <alignment horizontal="center" vertical="center"/>
    </xf>
    <xf numFmtId="49" fontId="37" fillId="7" borderId="11" xfId="0" applyNumberFormat="1" applyFont="1" applyFill="1" applyBorder="1" applyAlignment="1">
      <alignment horizontal="center" vertical="center"/>
    </xf>
    <xf numFmtId="0" fontId="19" fillId="7" borderId="15" xfId="0" applyFont="1" applyFill="1" applyBorder="1" applyAlignment="1">
      <alignment horizontal="center" vertical="center"/>
    </xf>
    <xf numFmtId="0" fontId="19" fillId="7" borderId="12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19" fillId="7" borderId="17" xfId="0" applyFont="1" applyFill="1" applyBorder="1" applyAlignment="1">
      <alignment horizontal="center" vertical="center"/>
    </xf>
    <xf numFmtId="0" fontId="19" fillId="7" borderId="13" xfId="0" applyFont="1" applyFill="1" applyBorder="1" applyAlignment="1">
      <alignment horizontal="center" vertical="center"/>
    </xf>
    <xf numFmtId="0" fontId="19" fillId="7" borderId="14" xfId="0" applyFont="1" applyFill="1" applyBorder="1" applyAlignment="1">
      <alignment horizontal="center" vertical="center"/>
    </xf>
    <xf numFmtId="0" fontId="19" fillId="7" borderId="4" xfId="0" applyFont="1" applyFill="1" applyBorder="1" applyAlignment="1">
      <alignment horizontal="center" vertical="center"/>
    </xf>
    <xf numFmtId="49" fontId="35" fillId="8" borderId="6" xfId="0" applyNumberFormat="1" applyFont="1" applyFill="1" applyBorder="1" applyAlignment="1">
      <alignment wrapText="1"/>
    </xf>
    <xf numFmtId="49" fontId="35" fillId="8" borderId="10" xfId="0" applyNumberFormat="1" applyFont="1" applyFill="1" applyBorder="1" applyAlignment="1">
      <alignment wrapText="1"/>
    </xf>
    <xf numFmtId="49" fontId="35" fillId="8" borderId="3" xfId="0" applyNumberFormat="1" applyFont="1" applyFill="1" applyBorder="1" applyAlignment="1">
      <alignment wrapText="1"/>
    </xf>
    <xf numFmtId="49" fontId="36" fillId="8" borderId="6" xfId="0" applyNumberFormat="1" applyFont="1" applyFill="1" applyBorder="1" applyAlignment="1">
      <alignment vertical="center"/>
    </xf>
    <xf numFmtId="49" fontId="36" fillId="8" borderId="10" xfId="0" applyNumberFormat="1" applyFont="1" applyFill="1" applyBorder="1" applyAlignment="1">
      <alignment vertical="center"/>
    </xf>
    <xf numFmtId="49" fontId="36" fillId="8" borderId="3" xfId="0" applyNumberFormat="1" applyFont="1" applyFill="1" applyBorder="1" applyAlignment="1">
      <alignment vertical="center"/>
    </xf>
    <xf numFmtId="14" fontId="41" fillId="9" borderId="31" xfId="0" applyNumberFormat="1" applyFont="1" applyFill="1" applyBorder="1" applyAlignment="1">
      <alignment horizontal="center" vertical="center" wrapText="1"/>
    </xf>
    <xf numFmtId="14" fontId="41" fillId="9" borderId="20" xfId="0" applyNumberFormat="1" applyFont="1" applyFill="1" applyBorder="1" applyAlignment="1">
      <alignment horizontal="center" vertical="center" wrapText="1"/>
    </xf>
    <xf numFmtId="14" fontId="41" fillId="9" borderId="32" xfId="0" applyNumberFormat="1" applyFont="1" applyFill="1" applyBorder="1" applyAlignment="1">
      <alignment horizontal="center" vertical="center" wrapText="1"/>
    </xf>
    <xf numFmtId="49" fontId="84" fillId="9" borderId="18" xfId="0" applyNumberFormat="1" applyFont="1" applyFill="1" applyBorder="1" applyAlignment="1" applyProtection="1">
      <alignment horizontal="center" vertical="center"/>
      <protection locked="0"/>
    </xf>
    <xf numFmtId="49" fontId="84" fillId="9" borderId="9" xfId="0" applyNumberFormat="1" applyFont="1" applyFill="1" applyBorder="1" applyAlignment="1" applyProtection="1">
      <alignment horizontal="center" vertical="center"/>
      <protection locked="0"/>
    </xf>
    <xf numFmtId="49" fontId="16" fillId="9" borderId="18" xfId="0" applyNumberFormat="1" applyFont="1" applyFill="1" applyBorder="1" applyAlignment="1" applyProtection="1">
      <alignment horizontal="center" vertical="center"/>
      <protection locked="0"/>
    </xf>
    <xf numFmtId="49" fontId="16" fillId="9" borderId="9" xfId="0" applyNumberFormat="1" applyFont="1" applyFill="1" applyBorder="1" applyAlignment="1" applyProtection="1">
      <alignment horizontal="center" vertical="center"/>
      <protection locked="0"/>
    </xf>
    <xf numFmtId="49" fontId="16" fillId="9" borderId="23" xfId="0" applyNumberFormat="1" applyFont="1" applyFill="1" applyBorder="1" applyAlignment="1" applyProtection="1">
      <alignment horizontal="center" vertical="center"/>
      <protection locked="0"/>
    </xf>
    <xf numFmtId="41" fontId="85" fillId="9" borderId="1" xfId="0" applyNumberFormat="1" applyFont="1" applyFill="1" applyBorder="1" applyAlignment="1">
      <alignment horizontal="center" vertical="center" wrapText="1"/>
    </xf>
    <xf numFmtId="49" fontId="84" fillId="9" borderId="17" xfId="0" applyNumberFormat="1" applyFont="1" applyFill="1" applyBorder="1" applyAlignment="1" applyProtection="1">
      <alignment horizontal="center" vertical="center"/>
      <protection locked="0"/>
    </xf>
    <xf numFmtId="49" fontId="84" fillId="9" borderId="30" xfId="0" applyNumberFormat="1" applyFont="1" applyFill="1" applyBorder="1" applyAlignment="1" applyProtection="1">
      <alignment horizontal="center" vertical="center"/>
      <protection locked="0"/>
    </xf>
    <xf numFmtId="49" fontId="84" fillId="9" borderId="23" xfId="0" applyNumberFormat="1" applyFont="1" applyFill="1" applyBorder="1" applyAlignment="1" applyProtection="1">
      <alignment horizontal="center" vertical="center"/>
      <protection locked="0"/>
    </xf>
    <xf numFmtId="49" fontId="31" fillId="9" borderId="54" xfId="0" applyNumberFormat="1" applyFont="1" applyFill="1" applyBorder="1" applyAlignment="1" applyProtection="1">
      <alignment horizontal="center" vertical="center"/>
      <protection locked="0"/>
    </xf>
    <xf numFmtId="49" fontId="31" fillId="9" borderId="41" xfId="0" applyNumberFormat="1" applyFont="1" applyFill="1" applyBorder="1" applyAlignment="1" applyProtection="1">
      <alignment horizontal="center" vertical="center"/>
      <protection locked="0"/>
    </xf>
    <xf numFmtId="0" fontId="31" fillId="6" borderId="62" xfId="0" applyFont="1" applyFill="1" applyBorder="1" applyAlignment="1">
      <alignment horizontal="justify" vertical="center" wrapText="1"/>
    </xf>
    <xf numFmtId="0" fontId="31" fillId="6" borderId="63" xfId="0" applyFont="1" applyFill="1" applyBorder="1" applyAlignment="1">
      <alignment horizontal="justify" vertical="center" wrapText="1"/>
    </xf>
    <xf numFmtId="0" fontId="31" fillId="6" borderId="45" xfId="0" applyFont="1" applyFill="1" applyBorder="1" applyAlignment="1">
      <alignment horizontal="justify" vertical="center" wrapText="1"/>
    </xf>
    <xf numFmtId="0" fontId="31" fillId="6" borderId="29" xfId="0" applyFont="1" applyFill="1" applyBorder="1" applyAlignment="1">
      <alignment horizontal="justify" vertical="center" wrapText="1"/>
    </xf>
    <xf numFmtId="49" fontId="83" fillId="9" borderId="9" xfId="0" applyNumberFormat="1" applyFont="1" applyFill="1" applyBorder="1" applyAlignment="1" applyProtection="1">
      <alignment horizontal="center"/>
      <protection locked="0"/>
    </xf>
    <xf numFmtId="49" fontId="83" fillId="9" borderId="23" xfId="0" applyNumberFormat="1" applyFont="1" applyFill="1" applyBorder="1" applyAlignment="1" applyProtection="1">
      <alignment horizontal="center"/>
      <protection locked="0"/>
    </xf>
    <xf numFmtId="0" fontId="37" fillId="6" borderId="47" xfId="0" applyFont="1" applyFill="1" applyBorder="1" applyAlignment="1">
      <alignment horizontal="left" vertical="center" wrapText="1"/>
    </xf>
    <xf numFmtId="0" fontId="37" fillId="6" borderId="54" xfId="0" applyFont="1" applyFill="1" applyBorder="1" applyAlignment="1">
      <alignment horizontal="left" vertical="center" wrapText="1"/>
    </xf>
    <xf numFmtId="0" fontId="37" fillId="6" borderId="38" xfId="0" applyFont="1" applyFill="1" applyBorder="1" applyAlignment="1">
      <alignment horizontal="left" vertical="center" wrapText="1"/>
    </xf>
    <xf numFmtId="166" fontId="33" fillId="9" borderId="27" xfId="2" applyNumberFormat="1" applyFont="1" applyFill="1" applyBorder="1" applyAlignment="1" applyProtection="1">
      <alignment horizontal="center" vertical="center"/>
      <protection locked="0"/>
    </xf>
    <xf numFmtId="166" fontId="33" fillId="9" borderId="28" xfId="2" applyNumberFormat="1" applyFont="1" applyFill="1" applyBorder="1" applyAlignment="1" applyProtection="1">
      <alignment horizontal="center" vertical="center"/>
      <protection locked="0"/>
    </xf>
    <xf numFmtId="166" fontId="33" fillId="9" borderId="29" xfId="2" applyNumberFormat="1" applyFont="1" applyFill="1" applyBorder="1" applyAlignment="1" applyProtection="1">
      <alignment horizontal="center" vertical="center"/>
      <protection locked="0"/>
    </xf>
    <xf numFmtId="166" fontId="33" fillId="9" borderId="34" xfId="2" applyNumberFormat="1" applyFont="1" applyFill="1" applyBorder="1" applyAlignment="1" applyProtection="1">
      <alignment horizontal="center" vertical="center"/>
      <protection locked="0"/>
    </xf>
    <xf numFmtId="166" fontId="33" fillId="9" borderId="35" xfId="2" applyNumberFormat="1" applyFont="1" applyFill="1" applyBorder="1" applyAlignment="1" applyProtection="1">
      <alignment horizontal="center" vertical="center"/>
      <protection locked="0"/>
    </xf>
    <xf numFmtId="166" fontId="33" fillId="9" borderId="38" xfId="2" applyNumberFormat="1" applyFont="1" applyFill="1" applyBorder="1" applyAlignment="1" applyProtection="1">
      <alignment horizontal="center" vertical="center"/>
      <protection locked="0"/>
    </xf>
    <xf numFmtId="49" fontId="83" fillId="9" borderId="44" xfId="0" applyNumberFormat="1" applyFont="1" applyFill="1" applyBorder="1" applyAlignment="1" applyProtection="1">
      <alignment horizontal="center"/>
      <protection locked="0"/>
    </xf>
    <xf numFmtId="49" fontId="83" fillId="9" borderId="56" xfId="0" applyNumberFormat="1" applyFont="1" applyFill="1" applyBorder="1" applyAlignment="1" applyProtection="1">
      <alignment horizontal="center"/>
      <protection locked="0"/>
    </xf>
    <xf numFmtId="41" fontId="85" fillId="9" borderId="18" xfId="0" applyNumberFormat="1" applyFont="1" applyFill="1" applyBorder="1" applyAlignment="1">
      <alignment horizontal="center" vertical="center" wrapText="1"/>
    </xf>
    <xf numFmtId="41" fontId="85" fillId="9" borderId="9" xfId="0" applyNumberFormat="1" applyFont="1" applyFill="1" applyBorder="1" applyAlignment="1">
      <alignment horizontal="center" vertical="center" wrapText="1"/>
    </xf>
    <xf numFmtId="41" fontId="85" fillId="9" borderId="23" xfId="0" applyNumberFormat="1" applyFont="1" applyFill="1" applyBorder="1" applyAlignment="1">
      <alignment horizontal="center" vertical="center" wrapText="1"/>
    </xf>
    <xf numFmtId="41" fontId="43" fillId="9" borderId="18" xfId="0" applyNumberFormat="1" applyFont="1" applyFill="1" applyBorder="1" applyAlignment="1" applyProtection="1">
      <alignment horizontal="center" vertical="center"/>
      <protection locked="0"/>
    </xf>
    <xf numFmtId="41" fontId="43" fillId="9" borderId="9" xfId="0" applyNumberFormat="1" applyFont="1" applyFill="1" applyBorder="1" applyAlignment="1" applyProtection="1">
      <alignment horizontal="center" vertical="center"/>
      <protection locked="0"/>
    </xf>
    <xf numFmtId="41" fontId="43" fillId="9" borderId="23" xfId="0" applyNumberFormat="1" applyFont="1" applyFill="1" applyBorder="1" applyAlignment="1" applyProtection="1">
      <alignment horizontal="center" vertical="center"/>
      <protection locked="0"/>
    </xf>
    <xf numFmtId="41" fontId="43" fillId="9" borderId="18" xfId="2" applyNumberFormat="1" applyFont="1" applyFill="1" applyBorder="1" applyAlignment="1" applyProtection="1">
      <alignment horizontal="center" vertical="center"/>
      <protection locked="0"/>
    </xf>
    <xf numFmtId="41" fontId="43" fillId="9" borderId="9" xfId="2" applyNumberFormat="1" applyFont="1" applyFill="1" applyBorder="1" applyAlignment="1" applyProtection="1">
      <alignment horizontal="center" vertical="center"/>
      <protection locked="0"/>
    </xf>
    <xf numFmtId="41" fontId="43" fillId="9" borderId="23" xfId="2" applyNumberFormat="1" applyFont="1" applyFill="1" applyBorder="1" applyAlignment="1" applyProtection="1">
      <alignment horizontal="center" vertical="center"/>
      <protection locked="0"/>
    </xf>
    <xf numFmtId="49" fontId="84" fillId="9" borderId="1" xfId="0" applyNumberFormat="1" applyFont="1" applyFill="1" applyBorder="1" applyAlignment="1" applyProtection="1">
      <alignment horizontal="center" vertical="center"/>
      <protection locked="0"/>
    </xf>
    <xf numFmtId="37" fontId="22" fillId="5" borderId="9" xfId="0" applyNumberFormat="1" applyFont="1" applyFill="1" applyBorder="1" applyAlignment="1">
      <alignment horizontal="center" vertical="center"/>
    </xf>
    <xf numFmtId="37" fontId="22" fillId="5" borderId="1" xfId="0" applyNumberFormat="1" applyFont="1" applyFill="1" applyBorder="1" applyAlignment="1">
      <alignment horizontal="center" vertical="center"/>
    </xf>
    <xf numFmtId="37" fontId="11" fillId="5" borderId="9" xfId="0" applyNumberFormat="1" applyFont="1" applyFill="1" applyBorder="1" applyAlignment="1">
      <alignment horizontal="center" vertical="center"/>
    </xf>
    <xf numFmtId="37" fontId="11" fillId="5" borderId="1" xfId="0" applyNumberFormat="1" applyFont="1" applyFill="1" applyBorder="1" applyAlignment="1">
      <alignment horizontal="center" vertical="center"/>
    </xf>
    <xf numFmtId="37" fontId="11" fillId="5" borderId="2" xfId="2" applyNumberFormat="1" applyFont="1" applyFill="1" applyBorder="1" applyAlignment="1">
      <alignment horizontal="center" vertical="center"/>
    </xf>
    <xf numFmtId="37" fontId="11" fillId="5" borderId="5" xfId="0" applyNumberFormat="1" applyFont="1" applyFill="1" applyBorder="1" applyAlignment="1">
      <alignment horizontal="center"/>
    </xf>
    <xf numFmtId="37" fontId="11" fillId="5" borderId="9" xfId="0" applyNumberFormat="1" applyFont="1" applyFill="1" applyBorder="1" applyAlignment="1">
      <alignment horizontal="center"/>
    </xf>
    <xf numFmtId="37" fontId="11" fillId="5" borderId="1" xfId="0" applyNumberFormat="1" applyFont="1" applyFill="1" applyBorder="1" applyAlignment="1">
      <alignment horizontal="center"/>
    </xf>
    <xf numFmtId="37" fontId="11" fillId="5" borderId="5" xfId="0" applyNumberFormat="1" applyFont="1" applyFill="1" applyBorder="1" applyAlignment="1" applyProtection="1">
      <alignment horizontal="center"/>
      <protection locked="0"/>
    </xf>
    <xf numFmtId="37" fontId="11" fillId="5" borderId="9" xfId="0" applyNumberFormat="1" applyFont="1" applyFill="1" applyBorder="1" applyAlignment="1" applyProtection="1">
      <alignment horizontal="center"/>
      <protection locked="0"/>
    </xf>
    <xf numFmtId="37" fontId="11" fillId="5" borderId="1" xfId="0" applyNumberFormat="1" applyFont="1" applyFill="1" applyBorder="1" applyAlignment="1" applyProtection="1">
      <alignment horizontal="center"/>
      <protection locked="0"/>
    </xf>
    <xf numFmtId="37" fontId="22" fillId="2" borderId="2" xfId="0" applyNumberFormat="1" applyFont="1" applyFill="1" applyBorder="1" applyAlignment="1" applyProtection="1">
      <alignment horizontal="center" vertical="center"/>
      <protection locked="0"/>
    </xf>
    <xf numFmtId="49" fontId="22" fillId="2" borderId="2" xfId="0" applyNumberFormat="1" applyFont="1" applyFill="1" applyBorder="1" applyAlignment="1" applyProtection="1">
      <alignment horizontal="center" vertical="center"/>
      <protection locked="0"/>
    </xf>
    <xf numFmtId="49" fontId="22" fillId="10" borderId="11" xfId="0" applyNumberFormat="1" applyFont="1" applyFill="1" applyBorder="1" applyAlignment="1">
      <alignment horizontal="center" vertical="center"/>
    </xf>
    <xf numFmtId="49" fontId="22" fillId="10" borderId="12" xfId="0" applyNumberFormat="1" applyFont="1" applyFill="1" applyBorder="1" applyAlignment="1">
      <alignment horizontal="center" vertical="center"/>
    </xf>
    <xf numFmtId="49" fontId="22" fillId="10" borderId="16" xfId="0" applyNumberFormat="1" applyFont="1" applyFill="1" applyBorder="1" applyAlignment="1">
      <alignment horizontal="center" vertical="center"/>
    </xf>
    <xf numFmtId="49" fontId="22" fillId="10" borderId="17" xfId="0" applyNumberFormat="1" applyFont="1" applyFill="1" applyBorder="1" applyAlignment="1">
      <alignment horizontal="center" vertical="center"/>
    </xf>
    <xf numFmtId="49" fontId="22" fillId="10" borderId="13" xfId="0" applyNumberFormat="1" applyFont="1" applyFill="1" applyBorder="1" applyAlignment="1">
      <alignment horizontal="center" vertical="center"/>
    </xf>
    <xf numFmtId="49" fontId="22" fillId="10" borderId="4" xfId="0" applyNumberFormat="1" applyFont="1" applyFill="1" applyBorder="1" applyAlignment="1">
      <alignment horizontal="center" vertical="center"/>
    </xf>
    <xf numFmtId="14" fontId="12" fillId="5" borderId="10" xfId="0" applyNumberFormat="1" applyFont="1" applyFill="1" applyBorder="1" applyAlignment="1">
      <alignment horizontal="center"/>
    </xf>
    <xf numFmtId="14" fontId="12" fillId="5" borderId="3" xfId="0" applyNumberFormat="1" applyFont="1" applyFill="1" applyBorder="1" applyAlignment="1">
      <alignment horizontal="center"/>
    </xf>
    <xf numFmtId="49" fontId="22" fillId="2" borderId="6" xfId="0" applyNumberFormat="1" applyFont="1" applyFill="1" applyBorder="1" applyAlignment="1" applyProtection="1">
      <alignment horizontal="center" vertical="center"/>
      <protection locked="0"/>
    </xf>
    <xf numFmtId="49" fontId="22" fillId="2" borderId="3" xfId="0" applyNumberFormat="1" applyFont="1" applyFill="1" applyBorder="1" applyAlignment="1" applyProtection="1">
      <alignment horizontal="center" vertical="center"/>
      <protection locked="0"/>
    </xf>
    <xf numFmtId="49" fontId="22" fillId="2" borderId="10" xfId="0" applyNumberFormat="1" applyFont="1" applyFill="1" applyBorder="1" applyAlignment="1" applyProtection="1">
      <alignment horizontal="center" vertical="center"/>
      <protection locked="0"/>
    </xf>
    <xf numFmtId="49" fontId="11" fillId="5" borderId="5" xfId="0" applyNumberFormat="1" applyFont="1" applyFill="1" applyBorder="1" applyAlignment="1">
      <alignment horizontal="center" vertical="center"/>
    </xf>
    <xf numFmtId="49" fontId="11" fillId="5" borderId="9" xfId="0" applyNumberFormat="1" applyFont="1" applyFill="1" applyBorder="1" applyAlignment="1">
      <alignment horizontal="center" vertical="center"/>
    </xf>
    <xf numFmtId="49" fontId="11" fillId="5" borderId="1" xfId="0" applyNumberFormat="1" applyFont="1" applyFill="1" applyBorder="1" applyAlignment="1">
      <alignment horizontal="center" vertical="center"/>
    </xf>
    <xf numFmtId="49" fontId="11" fillId="5" borderId="11" xfId="0" applyNumberFormat="1" applyFont="1" applyFill="1" applyBorder="1" applyAlignment="1">
      <alignment horizontal="center" vertical="center"/>
    </xf>
    <xf numFmtId="49" fontId="11" fillId="5" borderId="15" xfId="0" applyNumberFormat="1" applyFont="1" applyFill="1" applyBorder="1" applyAlignment="1">
      <alignment horizontal="center" vertical="center"/>
    </xf>
    <xf numFmtId="49" fontId="11" fillId="5" borderId="16" xfId="0" applyNumberFormat="1" applyFont="1" applyFill="1" applyBorder="1" applyAlignment="1">
      <alignment horizontal="center" vertical="center"/>
    </xf>
    <xf numFmtId="49" fontId="11" fillId="5" borderId="0" xfId="0" applyNumberFormat="1" applyFont="1" applyFill="1" applyAlignment="1">
      <alignment horizontal="center" vertical="center"/>
    </xf>
    <xf numFmtId="49" fontId="11" fillId="5" borderId="13" xfId="0" applyNumberFormat="1" applyFont="1" applyFill="1" applyBorder="1" applyAlignment="1">
      <alignment horizontal="center" vertical="center"/>
    </xf>
    <xf numFmtId="49" fontId="11" fillId="5" borderId="14" xfId="0" applyNumberFormat="1" applyFont="1" applyFill="1" applyBorder="1" applyAlignment="1">
      <alignment horizontal="center" vertical="center"/>
    </xf>
    <xf numFmtId="37" fontId="22" fillId="5" borderId="2" xfId="2" applyNumberFormat="1" applyFont="1" applyFill="1" applyBorder="1" applyAlignment="1">
      <alignment horizontal="center" vertical="center"/>
    </xf>
    <xf numFmtId="37" fontId="11" fillId="2" borderId="2" xfId="0" applyNumberFormat="1" applyFont="1" applyFill="1" applyBorder="1" applyAlignment="1" applyProtection="1">
      <alignment horizontal="center" vertical="center"/>
      <protection locked="0"/>
    </xf>
    <xf numFmtId="14" fontId="23" fillId="5" borderId="6" xfId="0" applyNumberFormat="1" applyFont="1" applyFill="1" applyBorder="1" applyAlignment="1">
      <alignment horizontal="center"/>
    </xf>
    <xf numFmtId="14" fontId="23" fillId="5" borderId="10" xfId="0" applyNumberFormat="1" applyFont="1" applyFill="1" applyBorder="1" applyAlignment="1">
      <alignment horizontal="center"/>
    </xf>
    <xf numFmtId="14" fontId="23" fillId="5" borderId="3" xfId="0" applyNumberFormat="1" applyFont="1" applyFill="1" applyBorder="1" applyAlignment="1">
      <alignment horizontal="center"/>
    </xf>
    <xf numFmtId="3" fontId="22" fillId="2" borderId="2" xfId="0" applyNumberFormat="1" applyFont="1" applyFill="1" applyBorder="1" applyAlignment="1" applyProtection="1">
      <alignment horizontal="center" vertical="center"/>
      <protection locked="0"/>
    </xf>
    <xf numFmtId="49" fontId="11" fillId="2" borderId="2" xfId="0" applyNumberFormat="1" applyFont="1" applyFill="1" applyBorder="1" applyAlignment="1" applyProtection="1">
      <alignment horizontal="center" vertical="center" wrapText="1"/>
      <protection locked="0"/>
    </xf>
    <xf numFmtId="49" fontId="11" fillId="2" borderId="2" xfId="0" applyNumberFormat="1" applyFont="1" applyFill="1" applyBorder="1" applyAlignment="1" applyProtection="1">
      <alignment horizontal="center" vertical="center"/>
      <protection locked="0"/>
    </xf>
    <xf numFmtId="37" fontId="22" fillId="2" borderId="5" xfId="2" applyNumberFormat="1" applyFont="1" applyFill="1" applyBorder="1" applyAlignment="1" applyProtection="1">
      <alignment horizontal="center" vertical="center"/>
      <protection locked="0"/>
    </xf>
    <xf numFmtId="37" fontId="22" fillId="2" borderId="9" xfId="2" applyNumberFormat="1" applyFont="1" applyFill="1" applyBorder="1" applyAlignment="1" applyProtection="1">
      <alignment horizontal="center" vertical="center"/>
      <protection locked="0"/>
    </xf>
    <xf numFmtId="37" fontId="22" fillId="2" borderId="1" xfId="2" applyNumberFormat="1" applyFont="1" applyFill="1" applyBorder="1" applyAlignment="1" applyProtection="1">
      <alignment horizontal="center" vertical="center"/>
      <protection locked="0"/>
    </xf>
    <xf numFmtId="37" fontId="11" fillId="2" borderId="2" xfId="2" applyNumberFormat="1" applyFont="1" applyFill="1" applyBorder="1" applyAlignment="1" applyProtection="1">
      <alignment horizontal="center" vertical="center"/>
      <protection locked="0"/>
    </xf>
    <xf numFmtId="37" fontId="22" fillId="2" borderId="2" xfId="2" applyNumberFormat="1" applyFont="1" applyFill="1" applyBorder="1" applyAlignment="1" applyProtection="1">
      <alignment horizontal="center" vertical="center"/>
      <protection locked="0"/>
    </xf>
    <xf numFmtId="0" fontId="30" fillId="6" borderId="2" xfId="0" applyFont="1" applyFill="1" applyBorder="1" applyAlignment="1">
      <alignment horizontal="left" vertical="center" wrapText="1"/>
    </xf>
    <xf numFmtId="49" fontId="22" fillId="2" borderId="2" xfId="0" applyNumberFormat="1" applyFont="1" applyFill="1" applyBorder="1" applyAlignment="1" applyProtection="1">
      <alignment horizontal="center" vertical="center" wrapText="1"/>
      <protection locked="0"/>
    </xf>
    <xf numFmtId="49" fontId="27" fillId="8" borderId="6" xfId="0" applyNumberFormat="1" applyFont="1" applyFill="1" applyBorder="1"/>
    <xf numFmtId="49" fontId="27" fillId="8" borderId="10" xfId="0" applyNumberFormat="1" applyFont="1" applyFill="1" applyBorder="1"/>
    <xf numFmtId="49" fontId="27" fillId="8" borderId="3" xfId="0" applyNumberFormat="1" applyFont="1" applyFill="1" applyBorder="1"/>
    <xf numFmtId="49" fontId="12" fillId="0" borderId="0" xfId="0" applyNumberFormat="1" applyFont="1" applyAlignment="1">
      <alignment horizontal="center"/>
    </xf>
    <xf numFmtId="49" fontId="27" fillId="8" borderId="6" xfId="0" applyNumberFormat="1" applyFont="1" applyFill="1" applyBorder="1" applyAlignment="1">
      <alignment wrapText="1"/>
    </xf>
    <xf numFmtId="49" fontId="27" fillId="8" borderId="10" xfId="0" applyNumberFormat="1" applyFont="1" applyFill="1" applyBorder="1" applyAlignment="1">
      <alignment wrapText="1"/>
    </xf>
    <xf numFmtId="49" fontId="27" fillId="8" borderId="3" xfId="0" applyNumberFormat="1" applyFont="1" applyFill="1" applyBorder="1" applyAlignment="1">
      <alignment wrapText="1"/>
    </xf>
    <xf numFmtId="49" fontId="28" fillId="8" borderId="6" xfId="0" applyNumberFormat="1" applyFont="1" applyFill="1" applyBorder="1" applyAlignment="1">
      <alignment vertical="center"/>
    </xf>
    <xf numFmtId="49" fontId="28" fillId="8" borderId="10" xfId="0" applyNumberFormat="1" applyFont="1" applyFill="1" applyBorder="1" applyAlignment="1">
      <alignment vertical="center"/>
    </xf>
    <xf numFmtId="49" fontId="28" fillId="8" borderId="3" xfId="0" applyNumberFormat="1" applyFont="1" applyFill="1" applyBorder="1" applyAlignment="1">
      <alignment vertical="center"/>
    </xf>
    <xf numFmtId="49" fontId="12" fillId="7" borderId="6" xfId="0" applyNumberFormat="1" applyFont="1" applyFill="1" applyBorder="1" applyAlignment="1">
      <alignment horizontal="center" vertical="top"/>
    </xf>
    <xf numFmtId="49" fontId="12" fillId="7" borderId="10" xfId="0" applyNumberFormat="1" applyFont="1" applyFill="1" applyBorder="1" applyAlignment="1">
      <alignment horizontal="center" vertical="top"/>
    </xf>
    <xf numFmtId="49" fontId="12" fillId="7" borderId="6" xfId="0" applyNumberFormat="1" applyFont="1" applyFill="1" applyBorder="1" applyAlignment="1">
      <alignment horizontal="center" vertical="top" wrapText="1"/>
    </xf>
    <xf numFmtId="49" fontId="12" fillId="7" borderId="3" xfId="0" applyNumberFormat="1" applyFont="1" applyFill="1" applyBorder="1" applyAlignment="1">
      <alignment horizontal="center" vertical="top" wrapText="1"/>
    </xf>
    <xf numFmtId="49" fontId="12" fillId="7" borderId="10" xfId="0" applyNumberFormat="1" applyFont="1" applyFill="1" applyBorder="1" applyAlignment="1">
      <alignment horizontal="center" vertical="top" wrapText="1"/>
    </xf>
    <xf numFmtId="49" fontId="82" fillId="5" borderId="0" xfId="0" applyNumberFormat="1" applyFont="1" applyFill="1" applyAlignment="1">
      <alignment horizontal="center" vertical="center"/>
    </xf>
    <xf numFmtId="49" fontId="87" fillId="8" borderId="0" xfId="0" applyNumberFormat="1" applyFont="1" applyFill="1" applyAlignment="1">
      <alignment horizontal="center" vertical="center"/>
    </xf>
    <xf numFmtId="49" fontId="74" fillId="8" borderId="0" xfId="0" applyNumberFormat="1" applyFont="1" applyFill="1" applyAlignment="1">
      <alignment horizontal="center" vertical="center"/>
    </xf>
  </cellXfs>
  <cellStyles count="3">
    <cellStyle name="Euro" xfId="1" xr:uid="{00000000-0005-0000-0000-000000000000}"/>
    <cellStyle name="Milliers" xfId="2" builtinId="3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7FFFF"/>
      <color rgb="FFEDF7F9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0BCE5-33FC-406E-AFCE-90374CE9A168}">
  <sheetPr>
    <tabColor rgb="FFFFC000"/>
  </sheetPr>
  <dimension ref="B2:O18"/>
  <sheetViews>
    <sheetView showGridLines="0" view="pageBreakPreview" topLeftCell="A7" zoomScale="90" zoomScaleNormal="80" zoomScaleSheetLayoutView="90" workbookViewId="0">
      <selection activeCell="Q10" sqref="Q10"/>
    </sheetView>
  </sheetViews>
  <sheetFormatPr baseColWidth="10" defaultRowHeight="12" x14ac:dyDescent="0.25"/>
  <cols>
    <col min="1" max="1" width="1.5546875" style="291" customWidth="1"/>
    <col min="2" max="2" width="6.88671875" style="291" customWidth="1"/>
    <col min="3" max="3" width="10.77734375" style="291" customWidth="1"/>
    <col min="4" max="4" width="23.109375" style="291" customWidth="1"/>
    <col min="5" max="5" width="12.109375" style="291" customWidth="1"/>
    <col min="6" max="15" width="15.6640625" style="291" customWidth="1"/>
    <col min="16" max="16" width="2.109375" style="291" customWidth="1"/>
    <col min="17" max="16384" width="11.5546875" style="291"/>
  </cols>
  <sheetData>
    <row r="2" spans="2:15" ht="22.2" customHeight="1" x14ac:dyDescent="0.25">
      <c r="B2" s="412" t="s">
        <v>316</v>
      </c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412"/>
      <c r="O2" s="412"/>
    </row>
    <row r="3" spans="2:15" ht="24.6" customHeight="1" thickBot="1" x14ac:dyDescent="0.3"/>
    <row r="4" spans="2:15" ht="21" customHeight="1" x14ac:dyDescent="0.25">
      <c r="B4" s="426" t="s">
        <v>277</v>
      </c>
      <c r="C4" s="427"/>
      <c r="D4" s="428"/>
      <c r="E4" s="429" t="s">
        <v>305</v>
      </c>
      <c r="F4" s="421" t="s">
        <v>259</v>
      </c>
      <c r="G4" s="422"/>
      <c r="H4" s="423" t="s">
        <v>95</v>
      </c>
      <c r="I4" s="422"/>
      <c r="J4" s="423" t="s">
        <v>275</v>
      </c>
      <c r="K4" s="421"/>
      <c r="L4" s="424"/>
      <c r="M4" s="423" t="s">
        <v>276</v>
      </c>
      <c r="N4" s="421"/>
      <c r="O4" s="425"/>
    </row>
    <row r="5" spans="2:15" ht="39.6" customHeight="1" thickBot="1" x14ac:dyDescent="0.3">
      <c r="B5" s="292" t="s">
        <v>279</v>
      </c>
      <c r="C5" s="293" t="s">
        <v>274</v>
      </c>
      <c r="D5" s="294" t="s">
        <v>314</v>
      </c>
      <c r="E5" s="430"/>
      <c r="F5" s="329" t="s">
        <v>43</v>
      </c>
      <c r="G5" s="330" t="s">
        <v>133</v>
      </c>
      <c r="H5" s="330" t="s">
        <v>99</v>
      </c>
      <c r="I5" s="330" t="s">
        <v>96</v>
      </c>
      <c r="J5" s="330" t="s">
        <v>299</v>
      </c>
      <c r="K5" s="330" t="s">
        <v>44</v>
      </c>
      <c r="L5" s="331" t="s">
        <v>170</v>
      </c>
      <c r="M5" s="331" t="s">
        <v>315</v>
      </c>
      <c r="N5" s="331" t="s">
        <v>100</v>
      </c>
      <c r="O5" s="332" t="s">
        <v>300</v>
      </c>
    </row>
    <row r="6" spans="2:15" ht="43.8" customHeight="1" x14ac:dyDescent="0.25">
      <c r="B6" s="413" t="s">
        <v>278</v>
      </c>
      <c r="C6" s="298" t="s">
        <v>289</v>
      </c>
      <c r="D6" s="295" t="s">
        <v>291</v>
      </c>
      <c r="E6" s="324" t="s">
        <v>306</v>
      </c>
      <c r="F6" s="309">
        <v>45099</v>
      </c>
      <c r="G6" s="310">
        <v>45155</v>
      </c>
      <c r="H6" s="310">
        <v>45159</v>
      </c>
      <c r="I6" s="310">
        <v>45176</v>
      </c>
      <c r="J6" s="310">
        <v>45225</v>
      </c>
      <c r="K6" s="310">
        <v>45267</v>
      </c>
      <c r="L6" s="311">
        <v>1017446035</v>
      </c>
      <c r="M6" s="311">
        <v>1017446035</v>
      </c>
      <c r="N6" s="310">
        <v>45278</v>
      </c>
      <c r="O6" s="327">
        <v>45279</v>
      </c>
    </row>
    <row r="7" spans="2:15" ht="43.8" customHeight="1" x14ac:dyDescent="0.25">
      <c r="B7" s="414"/>
      <c r="C7" s="299" t="s">
        <v>290</v>
      </c>
      <c r="D7" s="296" t="s">
        <v>292</v>
      </c>
      <c r="E7" s="325" t="s">
        <v>306</v>
      </c>
      <c r="F7" s="312">
        <v>45099</v>
      </c>
      <c r="G7" s="313">
        <v>45155</v>
      </c>
      <c r="H7" s="313">
        <v>45159</v>
      </c>
      <c r="I7" s="313">
        <v>45176</v>
      </c>
      <c r="J7" s="313">
        <v>45225</v>
      </c>
      <c r="K7" s="313">
        <v>45267</v>
      </c>
      <c r="L7" s="315">
        <v>796997800</v>
      </c>
      <c r="M7" s="315">
        <v>796997800</v>
      </c>
      <c r="N7" s="313">
        <v>45278</v>
      </c>
      <c r="O7" s="328">
        <v>45279</v>
      </c>
    </row>
    <row r="8" spans="2:15" ht="43.8" customHeight="1" x14ac:dyDescent="0.25">
      <c r="B8" s="414"/>
      <c r="C8" s="299" t="s">
        <v>288</v>
      </c>
      <c r="D8" s="296" t="s">
        <v>293</v>
      </c>
      <c r="E8" s="325" t="s">
        <v>307</v>
      </c>
      <c r="F8" s="312">
        <v>45099</v>
      </c>
      <c r="G8" s="313">
        <v>45159</v>
      </c>
      <c r="H8" s="313">
        <v>45162</v>
      </c>
      <c r="I8" s="313">
        <v>45177</v>
      </c>
      <c r="J8" s="313">
        <v>45225</v>
      </c>
      <c r="K8" s="313">
        <v>45267</v>
      </c>
      <c r="L8" s="315">
        <v>633828625</v>
      </c>
      <c r="M8" s="315">
        <v>633828625</v>
      </c>
      <c r="N8" s="313">
        <v>45275</v>
      </c>
      <c r="O8" s="328">
        <v>45278</v>
      </c>
    </row>
    <row r="9" spans="2:15" ht="43.8" customHeight="1" x14ac:dyDescent="0.25">
      <c r="B9" s="414"/>
      <c r="C9" s="299" t="s">
        <v>287</v>
      </c>
      <c r="D9" s="296" t="s">
        <v>281</v>
      </c>
      <c r="E9" s="325" t="s">
        <v>308</v>
      </c>
      <c r="F9" s="312">
        <v>45089</v>
      </c>
      <c r="G9" s="313">
        <v>45159</v>
      </c>
      <c r="H9" s="313">
        <v>45162</v>
      </c>
      <c r="I9" s="313">
        <v>45177</v>
      </c>
      <c r="J9" s="313">
        <v>45225</v>
      </c>
      <c r="K9" s="313">
        <v>45288</v>
      </c>
      <c r="L9" s="315">
        <v>760088802</v>
      </c>
      <c r="M9" s="315">
        <v>760088802</v>
      </c>
      <c r="N9" s="313"/>
      <c r="O9" s="328"/>
    </row>
    <row r="10" spans="2:15" ht="23.4" customHeight="1" thickBot="1" x14ac:dyDescent="0.3">
      <c r="B10" s="415"/>
      <c r="C10" s="417" t="s">
        <v>301</v>
      </c>
      <c r="D10" s="418"/>
      <c r="E10" s="418"/>
      <c r="F10" s="418"/>
      <c r="G10" s="418"/>
      <c r="H10" s="418"/>
      <c r="I10" s="418"/>
      <c r="J10" s="418"/>
      <c r="K10" s="419"/>
      <c r="L10" s="302">
        <f>SUM(L6:L9)</f>
        <v>3208361262</v>
      </c>
      <c r="M10" s="302">
        <f>SUM(M6:M9)</f>
        <v>3208361262</v>
      </c>
      <c r="N10" s="417"/>
      <c r="O10" s="420"/>
    </row>
    <row r="11" spans="2:15" ht="38.4" customHeight="1" x14ac:dyDescent="0.25">
      <c r="B11" s="416" t="s">
        <v>278</v>
      </c>
      <c r="C11" s="299" t="s">
        <v>286</v>
      </c>
      <c r="D11" s="296" t="s">
        <v>297</v>
      </c>
      <c r="E11" s="324" t="s">
        <v>306</v>
      </c>
      <c r="F11" s="312">
        <v>45120</v>
      </c>
      <c r="G11" s="313">
        <v>45138</v>
      </c>
      <c r="H11" s="313">
        <v>45140</v>
      </c>
      <c r="I11" s="313">
        <v>45159</v>
      </c>
      <c r="J11" s="313">
        <v>45187</v>
      </c>
      <c r="K11" s="313">
        <v>45211</v>
      </c>
      <c r="L11" s="315">
        <v>135860000</v>
      </c>
      <c r="M11" s="315">
        <f>L11</f>
        <v>135860000</v>
      </c>
      <c r="N11" s="313">
        <v>45287</v>
      </c>
      <c r="O11" s="328">
        <v>45288</v>
      </c>
    </row>
    <row r="12" spans="2:15" ht="38.4" customHeight="1" x14ac:dyDescent="0.25">
      <c r="B12" s="414"/>
      <c r="C12" s="299" t="s">
        <v>285</v>
      </c>
      <c r="D12" s="296" t="s">
        <v>298</v>
      </c>
      <c r="E12" s="325" t="s">
        <v>309</v>
      </c>
      <c r="F12" s="312">
        <v>45160</v>
      </c>
      <c r="G12" s="313">
        <v>45182</v>
      </c>
      <c r="H12" s="313">
        <v>45184</v>
      </c>
      <c r="I12" s="313">
        <v>45202</v>
      </c>
      <c r="J12" s="313">
        <v>45246</v>
      </c>
      <c r="K12" s="313">
        <v>45256</v>
      </c>
      <c r="L12" s="315">
        <v>270529228</v>
      </c>
      <c r="M12" s="315">
        <v>270529228</v>
      </c>
      <c r="N12" s="313">
        <v>45267</v>
      </c>
      <c r="O12" s="328">
        <v>45271</v>
      </c>
    </row>
    <row r="13" spans="2:15" ht="38.4" customHeight="1" x14ac:dyDescent="0.25">
      <c r="B13" s="414"/>
      <c r="C13" s="299" t="s">
        <v>284</v>
      </c>
      <c r="D13" s="296" t="s">
        <v>295</v>
      </c>
      <c r="E13" s="325" t="s">
        <v>310</v>
      </c>
      <c r="F13" s="312">
        <v>45232</v>
      </c>
      <c r="G13" s="313">
        <v>45277</v>
      </c>
      <c r="H13" s="313">
        <v>45280</v>
      </c>
      <c r="I13" s="314"/>
      <c r="J13" s="313">
        <v>45232</v>
      </c>
      <c r="K13" s="313">
        <v>45277</v>
      </c>
      <c r="L13" s="315">
        <v>210305000</v>
      </c>
      <c r="M13" s="315">
        <f>L13</f>
        <v>210305000</v>
      </c>
      <c r="N13" s="313">
        <v>45342</v>
      </c>
      <c r="O13" s="328">
        <v>45342</v>
      </c>
    </row>
    <row r="14" spans="2:15" ht="38.4" customHeight="1" x14ac:dyDescent="0.25">
      <c r="B14" s="414"/>
      <c r="C14" s="299" t="s">
        <v>282</v>
      </c>
      <c r="D14" s="296" t="s">
        <v>296</v>
      </c>
      <c r="E14" s="325" t="s">
        <v>311</v>
      </c>
      <c r="F14" s="312">
        <v>45127</v>
      </c>
      <c r="G14" s="313">
        <v>45169</v>
      </c>
      <c r="H14" s="313">
        <v>45140</v>
      </c>
      <c r="I14" s="313">
        <v>45159</v>
      </c>
      <c r="J14" s="313">
        <v>45187</v>
      </c>
      <c r="K14" s="313">
        <v>45211</v>
      </c>
      <c r="L14" s="315">
        <v>99433050</v>
      </c>
      <c r="M14" s="315">
        <f>L14</f>
        <v>99433050</v>
      </c>
      <c r="N14" s="313">
        <v>45287</v>
      </c>
      <c r="O14" s="328">
        <v>45288</v>
      </c>
    </row>
    <row r="15" spans="2:15" ht="19.8" customHeight="1" x14ac:dyDescent="0.25">
      <c r="B15" s="415"/>
      <c r="C15" s="417" t="s">
        <v>301</v>
      </c>
      <c r="D15" s="418"/>
      <c r="E15" s="418"/>
      <c r="F15" s="418"/>
      <c r="G15" s="418"/>
      <c r="H15" s="418"/>
      <c r="I15" s="418"/>
      <c r="J15" s="418"/>
      <c r="K15" s="419"/>
      <c r="L15" s="302">
        <f>SUM(L11:L14)</f>
        <v>716127278</v>
      </c>
      <c r="M15" s="302">
        <f>SUM(M11:M14)</f>
        <v>716127278</v>
      </c>
      <c r="N15" s="417"/>
      <c r="O15" s="420"/>
    </row>
    <row r="16" spans="2:15" ht="40.799999999999997" customHeight="1" thickBot="1" x14ac:dyDescent="0.35">
      <c r="B16" s="301" t="s">
        <v>280</v>
      </c>
      <c r="C16" s="300" t="s">
        <v>283</v>
      </c>
      <c r="D16" s="297" t="s">
        <v>294</v>
      </c>
      <c r="E16" s="326" t="s">
        <v>312</v>
      </c>
      <c r="F16" s="316">
        <v>45232</v>
      </c>
      <c r="G16" s="317">
        <v>45279</v>
      </c>
      <c r="H16" s="317">
        <v>45280</v>
      </c>
      <c r="I16" s="318"/>
      <c r="J16" s="318"/>
      <c r="K16" s="318"/>
      <c r="L16" s="319">
        <v>97214703</v>
      </c>
      <c r="M16" s="319">
        <f>L16</f>
        <v>97214703</v>
      </c>
      <c r="N16" s="317">
        <v>45343</v>
      </c>
      <c r="O16" s="362">
        <v>45343</v>
      </c>
    </row>
    <row r="17" spans="2:15" ht="40.799999999999997" customHeight="1" thickBot="1" x14ac:dyDescent="0.3">
      <c r="B17" s="308" t="s">
        <v>302</v>
      </c>
      <c r="C17" s="300" t="s">
        <v>303</v>
      </c>
      <c r="D17" s="297" t="s">
        <v>304</v>
      </c>
      <c r="E17" s="326" t="s">
        <v>313</v>
      </c>
      <c r="F17" s="316">
        <v>45232</v>
      </c>
      <c r="G17" s="317">
        <v>45279</v>
      </c>
      <c r="H17" s="318"/>
      <c r="I17" s="318"/>
      <c r="J17" s="317">
        <v>45258</v>
      </c>
      <c r="K17" s="317">
        <v>45269</v>
      </c>
      <c r="L17" s="319">
        <v>7509000</v>
      </c>
      <c r="M17" s="319">
        <f>L17</f>
        <v>7509000</v>
      </c>
      <c r="N17" s="317">
        <v>45279</v>
      </c>
      <c r="O17" s="362">
        <v>45280</v>
      </c>
    </row>
    <row r="18" spans="2:15" ht="7.8" customHeight="1" x14ac:dyDescent="0.25">
      <c r="L18" s="307"/>
    </row>
  </sheetData>
  <mergeCells count="13">
    <mergeCell ref="B2:O2"/>
    <mergeCell ref="B6:B10"/>
    <mergeCell ref="B11:B15"/>
    <mergeCell ref="C15:K15"/>
    <mergeCell ref="N15:O15"/>
    <mergeCell ref="C10:K10"/>
    <mergeCell ref="N10:O10"/>
    <mergeCell ref="F4:G4"/>
    <mergeCell ref="H4:I4"/>
    <mergeCell ref="J4:L4"/>
    <mergeCell ref="M4:O4"/>
    <mergeCell ref="B4:D4"/>
    <mergeCell ref="E4:E5"/>
  </mergeCells>
  <phoneticPr fontId="69" type="noConversion"/>
  <pageMargins left="0.7" right="0.7" top="0.75" bottom="0.75" header="0.3" footer="0.3"/>
  <pageSetup paperSize="9" scale="6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G53"/>
  <sheetViews>
    <sheetView showGridLines="0" view="pageBreakPreview" topLeftCell="B34" zoomScale="70" zoomScaleNormal="100" zoomScaleSheetLayoutView="70" workbookViewId="0">
      <selection activeCell="K7" sqref="K7"/>
    </sheetView>
  </sheetViews>
  <sheetFormatPr baseColWidth="10" defaultColWidth="9.109375" defaultRowHeight="15.6" x14ac:dyDescent="0.3"/>
  <cols>
    <col min="1" max="1" width="1.44140625" style="218" customWidth="1"/>
    <col min="2" max="2" width="5.109375" style="283" customWidth="1"/>
    <col min="3" max="3" width="45.44140625" style="218" customWidth="1"/>
    <col min="4" max="4" width="12.77734375" style="218" customWidth="1"/>
    <col min="5" max="5" width="12.44140625" style="218" customWidth="1"/>
    <col min="6" max="6" width="12.6640625" style="218" customWidth="1"/>
    <col min="7" max="7" width="15.109375" style="218" customWidth="1"/>
    <col min="8" max="8" width="13.44140625" style="218" customWidth="1"/>
    <col min="9" max="9" width="12" style="218" customWidth="1"/>
    <col min="10" max="10" width="12.44140625" style="218" customWidth="1"/>
    <col min="11" max="11" width="12.33203125" style="218" customWidth="1"/>
    <col min="12" max="12" width="13.5546875" style="218" customWidth="1"/>
    <col min="13" max="13" width="9" style="218" customWidth="1"/>
    <col min="14" max="14" width="12.44140625" style="218" customWidth="1"/>
    <col min="15" max="16" width="14.109375" style="218" customWidth="1"/>
    <col min="17" max="17" width="11.6640625" style="218" customWidth="1"/>
    <col min="18" max="18" width="12.88671875" style="218" customWidth="1"/>
    <col min="19" max="19" width="15.5546875" style="218" customWidth="1"/>
    <col min="20" max="20" width="16" style="218" customWidth="1"/>
    <col min="21" max="21" width="16.109375" style="218" customWidth="1"/>
    <col min="22" max="22" width="14.6640625" style="218" customWidth="1"/>
    <col min="23" max="23" width="15.88671875" style="218" customWidth="1"/>
    <col min="24" max="24" width="13.5546875" style="218" customWidth="1"/>
    <col min="25" max="25" width="16.88671875" style="218" customWidth="1"/>
    <col min="26" max="26" width="15.44140625" style="218" customWidth="1"/>
    <col min="27" max="27" width="14.88671875" style="218" customWidth="1"/>
    <col min="28" max="28" width="16.6640625" style="218" customWidth="1"/>
    <col min="29" max="29" width="16.77734375" style="218" customWidth="1"/>
    <col min="30" max="32" width="14" style="218" customWidth="1"/>
    <col min="33" max="33" width="14.88671875" style="218" customWidth="1"/>
    <col min="34" max="34" width="2.109375" style="218" customWidth="1"/>
    <col min="35" max="16384" width="9.109375" style="218"/>
  </cols>
  <sheetData>
    <row r="1" spans="2:33" x14ac:dyDescent="0.3">
      <c r="N1" s="16"/>
      <c r="O1" s="16"/>
      <c r="P1" s="16"/>
      <c r="Q1" s="16"/>
      <c r="R1" s="16"/>
      <c r="S1" s="16"/>
      <c r="T1" s="16"/>
      <c r="U1" s="16"/>
      <c r="V1" s="16"/>
      <c r="W1" s="16"/>
    </row>
    <row r="2" spans="2:33" ht="25.5" customHeight="1" x14ac:dyDescent="0.3">
      <c r="C2" s="708" t="s">
        <v>236</v>
      </c>
      <c r="D2" s="708"/>
      <c r="E2" s="708"/>
      <c r="F2" s="708"/>
      <c r="G2" s="708"/>
      <c r="H2" s="708"/>
      <c r="I2" s="708"/>
      <c r="J2" s="708"/>
      <c r="K2" s="708"/>
      <c r="L2" s="708"/>
      <c r="M2" s="708"/>
      <c r="N2" s="708"/>
      <c r="O2" s="708"/>
      <c r="P2" s="708"/>
      <c r="Q2" s="708"/>
      <c r="R2" s="708"/>
      <c r="S2" s="708"/>
      <c r="T2" s="16"/>
      <c r="U2" s="16"/>
      <c r="V2" s="16"/>
      <c r="W2" s="16"/>
    </row>
    <row r="3" spans="2:33" ht="25.2" customHeight="1" x14ac:dyDescent="0.35">
      <c r="E3" s="288"/>
      <c r="F3" s="288"/>
      <c r="G3" s="288"/>
      <c r="H3" s="288"/>
      <c r="I3" s="288"/>
      <c r="J3" s="288"/>
      <c r="N3" s="16"/>
      <c r="O3" s="16"/>
      <c r="P3" s="16"/>
      <c r="Q3" s="16"/>
      <c r="R3" s="16"/>
      <c r="S3" s="16"/>
      <c r="T3" s="16"/>
      <c r="U3" s="16"/>
      <c r="V3" s="16"/>
      <c r="W3" s="16"/>
    </row>
    <row r="4" spans="2:33" x14ac:dyDescent="0.3">
      <c r="B4" s="284" t="s">
        <v>2</v>
      </c>
      <c r="C4" s="289" t="s">
        <v>8</v>
      </c>
      <c r="D4" s="219" t="s">
        <v>73</v>
      </c>
      <c r="E4" s="219"/>
      <c r="F4" s="219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</row>
    <row r="5" spans="2:33" x14ac:dyDescent="0.3">
      <c r="B5" s="284"/>
      <c r="C5" s="220" t="s">
        <v>9</v>
      </c>
      <c r="D5" s="237" t="s">
        <v>124</v>
      </c>
      <c r="E5" s="238"/>
      <c r="F5" s="238"/>
      <c r="G5" s="238"/>
      <c r="H5" s="238"/>
      <c r="I5" s="241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</row>
    <row r="6" spans="2:33" ht="30" customHeight="1" x14ac:dyDescent="0.3">
      <c r="B6" s="284"/>
      <c r="C6" s="220" t="s">
        <v>10</v>
      </c>
      <c r="D6" s="464" t="s">
        <v>125</v>
      </c>
      <c r="E6" s="465"/>
      <c r="F6" s="465"/>
      <c r="G6" s="465"/>
      <c r="H6" s="465"/>
      <c r="I6" s="46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</row>
    <row r="7" spans="2:33" x14ac:dyDescent="0.3">
      <c r="B7" s="284"/>
      <c r="C7" s="220" t="s">
        <v>11</v>
      </c>
      <c r="D7" s="237" t="s">
        <v>126</v>
      </c>
      <c r="E7" s="238"/>
      <c r="F7" s="238"/>
      <c r="G7" s="238"/>
      <c r="H7" s="238"/>
      <c r="I7" s="241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</row>
    <row r="8" spans="2:33" x14ac:dyDescent="0.3">
      <c r="B8" s="284"/>
      <c r="C8" s="221" t="s">
        <v>75</v>
      </c>
      <c r="D8" s="237" t="s">
        <v>127</v>
      </c>
      <c r="E8" s="238"/>
      <c r="F8" s="238"/>
      <c r="G8" s="238"/>
      <c r="H8" s="238"/>
      <c r="I8" s="241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</row>
    <row r="9" spans="2:33" x14ac:dyDescent="0.3">
      <c r="B9" s="284"/>
      <c r="C9" s="221" t="s">
        <v>12</v>
      </c>
      <c r="D9" s="237" t="s">
        <v>128</v>
      </c>
      <c r="E9" s="238"/>
      <c r="F9" s="238"/>
      <c r="G9" s="238"/>
      <c r="H9" s="238"/>
      <c r="I9" s="241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</row>
    <row r="10" spans="2:33" ht="28.8" x14ac:dyDescent="0.3">
      <c r="B10" s="284"/>
      <c r="C10" s="221" t="s">
        <v>13</v>
      </c>
      <c r="D10" s="472" t="s">
        <v>244</v>
      </c>
      <c r="E10" s="473"/>
      <c r="F10" s="473"/>
      <c r="G10" s="473"/>
      <c r="H10" s="473"/>
      <c r="I10" s="474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</row>
    <row r="11" spans="2:33" ht="28.8" x14ac:dyDescent="0.3">
      <c r="B11" s="284"/>
      <c r="C11" s="221" t="s">
        <v>14</v>
      </c>
      <c r="D11" s="472" t="s">
        <v>245</v>
      </c>
      <c r="E11" s="473"/>
      <c r="F11" s="473"/>
      <c r="G11" s="473"/>
      <c r="H11" s="473"/>
      <c r="I11" s="474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</row>
    <row r="12" spans="2:33" x14ac:dyDescent="0.3">
      <c r="B12" s="284"/>
      <c r="C12" s="221" t="s">
        <v>15</v>
      </c>
      <c r="D12" s="472" t="s">
        <v>73</v>
      </c>
      <c r="E12" s="473"/>
      <c r="F12" s="473"/>
      <c r="G12" s="473"/>
      <c r="H12" s="473"/>
      <c r="I12" s="474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</row>
    <row r="13" spans="2:33" x14ac:dyDescent="0.3">
      <c r="B13" s="284"/>
      <c r="C13" s="221" t="s">
        <v>16</v>
      </c>
      <c r="D13" s="239" t="s">
        <v>268</v>
      </c>
      <c r="E13" s="239"/>
      <c r="F13" s="239"/>
      <c r="G13" s="239"/>
      <c r="H13" s="239"/>
      <c r="I13" s="240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</row>
    <row r="14" spans="2:33" s="230" customFormat="1" ht="25.8" customHeight="1" x14ac:dyDescent="0.3">
      <c r="B14" s="244"/>
      <c r="C14" s="222" t="s">
        <v>17</v>
      </c>
      <c r="D14" s="222"/>
      <c r="E14" s="222"/>
      <c r="F14" s="222"/>
      <c r="G14" s="242"/>
      <c r="H14" s="242"/>
      <c r="I14" s="242"/>
      <c r="J14" s="243"/>
      <c r="K14" s="243"/>
      <c r="L14" s="243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243"/>
      <c r="Y14" s="243"/>
      <c r="Z14" s="243"/>
      <c r="AA14" s="243"/>
      <c r="AB14" s="243"/>
      <c r="AC14" s="243"/>
      <c r="AD14" s="243"/>
      <c r="AE14" s="243"/>
      <c r="AF14" s="243"/>
      <c r="AG14" s="243"/>
    </row>
    <row r="15" spans="2:33" x14ac:dyDescent="0.3">
      <c r="B15" s="284" t="s">
        <v>3</v>
      </c>
      <c r="C15" s="223" t="s">
        <v>79</v>
      </c>
      <c r="D15" s="475" t="s">
        <v>84</v>
      </c>
      <c r="E15" s="476"/>
      <c r="F15" s="476"/>
      <c r="G15" s="477"/>
      <c r="H15" s="479" t="s">
        <v>18</v>
      </c>
      <c r="I15" s="480"/>
      <c r="J15" s="481"/>
      <c r="K15" s="16"/>
      <c r="L15" s="224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</row>
    <row r="16" spans="2:33" x14ac:dyDescent="0.3">
      <c r="B16" s="284"/>
      <c r="C16" s="225"/>
      <c r="D16" s="478"/>
      <c r="E16" s="476"/>
      <c r="F16" s="476"/>
      <c r="G16" s="477"/>
      <c r="H16" s="482"/>
      <c r="I16" s="483"/>
      <c r="J16" s="484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</row>
    <row r="17" spans="2:33" x14ac:dyDescent="0.3">
      <c r="B17" s="284"/>
      <c r="C17" s="226"/>
      <c r="D17" s="25" t="s">
        <v>80</v>
      </c>
      <c r="E17" s="25" t="s">
        <v>81</v>
      </c>
      <c r="F17" s="25" t="s">
        <v>82</v>
      </c>
      <c r="G17" s="25" t="s">
        <v>83</v>
      </c>
      <c r="H17" s="485"/>
      <c r="I17" s="486"/>
      <c r="J17" s="487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</row>
    <row r="18" spans="2:33" x14ac:dyDescent="0.3">
      <c r="B18" s="284"/>
      <c r="C18" s="28"/>
      <c r="D18" s="26" t="s">
        <v>73</v>
      </c>
      <c r="E18" s="27"/>
      <c r="F18" s="27"/>
      <c r="G18" s="27"/>
      <c r="H18" s="497"/>
      <c r="I18" s="470"/>
      <c r="J18" s="471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</row>
    <row r="19" spans="2:33" x14ac:dyDescent="0.3">
      <c r="B19" s="284"/>
      <c r="C19" s="28"/>
      <c r="D19" s="27"/>
      <c r="E19" s="27"/>
      <c r="F19" s="27"/>
      <c r="G19" s="27"/>
      <c r="H19" s="27"/>
      <c r="I19" s="470"/>
      <c r="J19" s="471"/>
      <c r="K19" s="16"/>
      <c r="L19" s="227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</row>
    <row r="20" spans="2:33" ht="23.4" customHeight="1" thickBot="1" x14ac:dyDescent="0.35">
      <c r="B20" s="284"/>
      <c r="C20" s="228"/>
      <c r="D20" s="21"/>
      <c r="E20" s="229"/>
      <c r="F20" s="229"/>
      <c r="G20" s="469"/>
      <c r="H20" s="469"/>
      <c r="I20" s="469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</row>
    <row r="21" spans="2:33" s="230" customFormat="1" ht="34.200000000000003" customHeight="1" x14ac:dyDescent="0.25">
      <c r="B21" s="285" t="s">
        <v>4</v>
      </c>
      <c r="C21" s="275" t="s">
        <v>20</v>
      </c>
      <c r="D21" s="467" t="s">
        <v>19</v>
      </c>
      <c r="E21" s="435"/>
      <c r="F21" s="435"/>
      <c r="G21" s="435"/>
      <c r="H21" s="435"/>
      <c r="I21" s="435"/>
      <c r="J21" s="435"/>
      <c r="K21" s="435"/>
      <c r="L21" s="435"/>
      <c r="M21" s="468"/>
      <c r="N21" s="488" t="s">
        <v>37</v>
      </c>
      <c r="O21" s="495"/>
      <c r="P21" s="488" t="s">
        <v>37</v>
      </c>
      <c r="Q21" s="496"/>
      <c r="R21" s="496"/>
      <c r="S21" s="495"/>
      <c r="T21" s="434" t="s">
        <v>41</v>
      </c>
      <c r="U21" s="468"/>
      <c r="V21" s="435"/>
      <c r="W21" s="468"/>
      <c r="X21" s="271" t="s">
        <v>95</v>
      </c>
      <c r="Y21" s="270"/>
      <c r="Z21" s="434" t="s">
        <v>101</v>
      </c>
      <c r="AA21" s="435"/>
      <c r="AB21" s="436"/>
      <c r="AC21" s="434" t="s">
        <v>102</v>
      </c>
      <c r="AD21" s="435"/>
      <c r="AE21" s="435"/>
      <c r="AF21" s="488" t="s">
        <v>103</v>
      </c>
      <c r="AG21" s="489"/>
    </row>
    <row r="22" spans="2:33" s="230" customFormat="1" ht="62.4" customHeight="1" thickBot="1" x14ac:dyDescent="0.3">
      <c r="B22" s="285"/>
      <c r="C22" s="276" t="s">
        <v>1</v>
      </c>
      <c r="D22" s="272" t="s">
        <v>21</v>
      </c>
      <c r="E22" s="268" t="s">
        <v>22</v>
      </c>
      <c r="F22" s="268" t="s">
        <v>23</v>
      </c>
      <c r="G22" s="273" t="s">
        <v>107</v>
      </c>
      <c r="H22" s="273" t="s">
        <v>76</v>
      </c>
      <c r="I22" s="273" t="s">
        <v>24</v>
      </c>
      <c r="J22" s="273" t="s">
        <v>27</v>
      </c>
      <c r="K22" s="273" t="s">
        <v>25</v>
      </c>
      <c r="L22" s="273" t="s">
        <v>26</v>
      </c>
      <c r="M22" s="267" t="s">
        <v>35</v>
      </c>
      <c r="N22" s="268" t="s">
        <v>108</v>
      </c>
      <c r="O22" s="268" t="s">
        <v>109</v>
      </c>
      <c r="P22" s="267" t="s">
        <v>110</v>
      </c>
      <c r="Q22" s="268" t="s">
        <v>44</v>
      </c>
      <c r="R22" s="267" t="s">
        <v>93</v>
      </c>
      <c r="S22" s="273" t="s">
        <v>38</v>
      </c>
      <c r="T22" s="267" t="s">
        <v>39</v>
      </c>
      <c r="U22" s="267" t="s">
        <v>40</v>
      </c>
      <c r="V22" s="267" t="s">
        <v>43</v>
      </c>
      <c r="W22" s="267" t="s">
        <v>38</v>
      </c>
      <c r="X22" s="267" t="s">
        <v>99</v>
      </c>
      <c r="Y22" s="267" t="s">
        <v>96</v>
      </c>
      <c r="Z22" s="267" t="s">
        <v>104</v>
      </c>
      <c r="AA22" s="267" t="s">
        <v>44</v>
      </c>
      <c r="AB22" s="268" t="s">
        <v>116</v>
      </c>
      <c r="AC22" s="268" t="s">
        <v>116</v>
      </c>
      <c r="AD22" s="268" t="s">
        <v>98</v>
      </c>
      <c r="AE22" s="267" t="s">
        <v>91</v>
      </c>
      <c r="AF22" s="267" t="s">
        <v>45</v>
      </c>
      <c r="AG22" s="274" t="s">
        <v>46</v>
      </c>
    </row>
    <row r="23" spans="2:33" s="231" customFormat="1" ht="25.5" customHeight="1" x14ac:dyDescent="0.3">
      <c r="B23" s="286"/>
      <c r="C23" s="490" t="s">
        <v>118</v>
      </c>
      <c r="D23" s="493" t="s">
        <v>2</v>
      </c>
      <c r="E23" s="269"/>
      <c r="F23" s="269"/>
      <c r="G23" s="269"/>
      <c r="H23" s="449">
        <v>6787377</v>
      </c>
      <c r="I23" s="456" t="s">
        <v>112</v>
      </c>
      <c r="J23" s="456" t="s">
        <v>113</v>
      </c>
      <c r="K23" s="456" t="s">
        <v>113</v>
      </c>
      <c r="L23" s="456" t="s">
        <v>114</v>
      </c>
      <c r="M23" s="256" t="s">
        <v>0</v>
      </c>
      <c r="N23" s="458" t="s">
        <v>113</v>
      </c>
      <c r="O23" s="461" t="s">
        <v>113</v>
      </c>
      <c r="P23" s="456" t="s">
        <v>113</v>
      </c>
      <c r="Q23" s="456" t="s">
        <v>113</v>
      </c>
      <c r="R23" s="334">
        <v>42819</v>
      </c>
      <c r="S23" s="334">
        <f>+R23+15</f>
        <v>42834</v>
      </c>
      <c r="T23" s="334">
        <f>+S23+5</f>
        <v>42839</v>
      </c>
      <c r="U23" s="334">
        <f>+T23+60</f>
        <v>42899</v>
      </c>
      <c r="V23" s="334">
        <v>42916</v>
      </c>
      <c r="W23" s="334">
        <f>+V23+15+3</f>
        <v>42934</v>
      </c>
      <c r="X23" s="334">
        <f>+W23+5</f>
        <v>42939</v>
      </c>
      <c r="Y23" s="334">
        <f>+X23+5</f>
        <v>42944</v>
      </c>
      <c r="Z23" s="334">
        <f>+W23+1</f>
        <v>42935</v>
      </c>
      <c r="AA23" s="334">
        <f>+Z23+30</f>
        <v>42965</v>
      </c>
      <c r="AB23" s="453">
        <v>951380272</v>
      </c>
      <c r="AC23" s="453">
        <f>AB23</f>
        <v>951380272</v>
      </c>
      <c r="AD23" s="334">
        <f>+AA23+21</f>
        <v>42986</v>
      </c>
      <c r="AE23" s="334">
        <f>+AA23+21</f>
        <v>42986</v>
      </c>
      <c r="AF23" s="334">
        <f>+AE23+21</f>
        <v>43007</v>
      </c>
      <c r="AG23" s="334">
        <v>43372</v>
      </c>
    </row>
    <row r="24" spans="2:33" s="231" customFormat="1" ht="25.5" customHeight="1" x14ac:dyDescent="0.35">
      <c r="B24" s="286"/>
      <c r="C24" s="491"/>
      <c r="D24" s="493"/>
      <c r="E24" s="255"/>
      <c r="F24" s="255"/>
      <c r="G24" s="255"/>
      <c r="H24" s="450"/>
      <c r="I24" s="456"/>
      <c r="J24" s="456"/>
      <c r="K24" s="456"/>
      <c r="L24" s="456"/>
      <c r="M24" s="256" t="s">
        <v>34</v>
      </c>
      <c r="N24" s="458"/>
      <c r="O24" s="461"/>
      <c r="P24" s="456"/>
      <c r="Q24" s="456"/>
      <c r="R24" s="335"/>
      <c r="S24" s="335"/>
      <c r="T24" s="335"/>
      <c r="U24" s="335"/>
      <c r="V24" s="335"/>
      <c r="W24" s="335"/>
      <c r="X24" s="336"/>
      <c r="Y24" s="336"/>
      <c r="Z24" s="335"/>
      <c r="AA24" s="337"/>
      <c r="AB24" s="453"/>
      <c r="AC24" s="453"/>
      <c r="AD24" s="338"/>
      <c r="AE24" s="338"/>
      <c r="AF24" s="339"/>
      <c r="AG24" s="340"/>
    </row>
    <row r="25" spans="2:33" s="231" customFormat="1" ht="25.5" customHeight="1" x14ac:dyDescent="0.3">
      <c r="B25" s="286"/>
      <c r="C25" s="491"/>
      <c r="D25" s="494"/>
      <c r="E25" s="255"/>
      <c r="F25" s="255"/>
      <c r="G25" s="255"/>
      <c r="H25" s="450"/>
      <c r="I25" s="457"/>
      <c r="J25" s="457"/>
      <c r="K25" s="457"/>
      <c r="L25" s="457"/>
      <c r="M25" s="257" t="s">
        <v>36</v>
      </c>
      <c r="N25" s="459"/>
      <c r="O25" s="462"/>
      <c r="P25" s="457"/>
      <c r="Q25" s="457"/>
      <c r="R25" s="341">
        <v>43115</v>
      </c>
      <c r="S25" s="341">
        <v>43312</v>
      </c>
      <c r="T25" s="341">
        <v>43332</v>
      </c>
      <c r="U25" s="341">
        <v>43369</v>
      </c>
      <c r="V25" s="341" t="s">
        <v>115</v>
      </c>
      <c r="W25" s="341">
        <v>43774</v>
      </c>
      <c r="X25" s="341">
        <f>+W25+3</f>
        <v>43777</v>
      </c>
      <c r="Y25" s="341">
        <f>+X25+95+13</f>
        <v>43885</v>
      </c>
      <c r="Z25" s="341">
        <f>+X25+10</f>
        <v>43787</v>
      </c>
      <c r="AA25" s="341">
        <v>43854</v>
      </c>
      <c r="AB25" s="454"/>
      <c r="AC25" s="454"/>
      <c r="AD25" s="338">
        <v>43857</v>
      </c>
      <c r="AE25" s="341">
        <v>43880</v>
      </c>
      <c r="AF25" s="341" t="s">
        <v>117</v>
      </c>
      <c r="AG25" s="357" t="s">
        <v>317</v>
      </c>
    </row>
    <row r="26" spans="2:33" ht="19.5" customHeight="1" x14ac:dyDescent="0.3">
      <c r="B26" s="284"/>
      <c r="C26" s="280"/>
      <c r="D26" s="277"/>
      <c r="E26" s="259"/>
      <c r="F26" s="258"/>
      <c r="G26" s="258"/>
      <c r="H26" s="450"/>
      <c r="I26" s="258"/>
      <c r="J26" s="258"/>
      <c r="K26" s="259"/>
      <c r="L26" s="259"/>
      <c r="M26" s="260"/>
      <c r="N26" s="259"/>
      <c r="O26" s="259"/>
      <c r="P26" s="261"/>
      <c r="Q26" s="261"/>
      <c r="R26" s="342"/>
      <c r="S26" s="342"/>
      <c r="T26" s="342"/>
      <c r="U26" s="342"/>
      <c r="V26" s="342"/>
      <c r="W26" s="342"/>
      <c r="X26" s="342"/>
      <c r="Y26" s="342"/>
      <c r="Z26" s="342"/>
      <c r="AA26" s="342"/>
      <c r="AB26" s="342"/>
      <c r="AC26" s="343"/>
      <c r="AD26" s="342"/>
      <c r="AE26" s="342"/>
      <c r="AF26" s="342"/>
      <c r="AG26" s="342"/>
    </row>
    <row r="27" spans="2:33" s="231" customFormat="1" ht="37.5" customHeight="1" x14ac:dyDescent="0.3">
      <c r="B27" s="286"/>
      <c r="C27" s="491" t="s">
        <v>129</v>
      </c>
      <c r="D27" s="492" t="s">
        <v>2</v>
      </c>
      <c r="E27" s="262"/>
      <c r="F27" s="263"/>
      <c r="G27" s="255"/>
      <c r="H27" s="450"/>
      <c r="I27" s="455" t="s">
        <v>112</v>
      </c>
      <c r="J27" s="455" t="s">
        <v>113</v>
      </c>
      <c r="K27" s="455" t="s">
        <v>113</v>
      </c>
      <c r="L27" s="455" t="s">
        <v>114</v>
      </c>
      <c r="M27" s="257" t="s">
        <v>0</v>
      </c>
      <c r="N27" s="460" t="s">
        <v>113</v>
      </c>
      <c r="O27" s="463" t="s">
        <v>113</v>
      </c>
      <c r="P27" s="455" t="s">
        <v>113</v>
      </c>
      <c r="Q27" s="455" t="s">
        <v>113</v>
      </c>
      <c r="R27" s="344">
        <v>42819</v>
      </c>
      <c r="S27" s="344">
        <f>+R27+15</f>
        <v>42834</v>
      </c>
      <c r="T27" s="344">
        <f>+S27+5</f>
        <v>42839</v>
      </c>
      <c r="U27" s="344">
        <f>+T27+60</f>
        <v>42899</v>
      </c>
      <c r="V27" s="344">
        <v>42916</v>
      </c>
      <c r="W27" s="344">
        <f>+V27+15+3</f>
        <v>42934</v>
      </c>
      <c r="X27" s="344">
        <f>+W27+5</f>
        <v>42939</v>
      </c>
      <c r="Y27" s="344">
        <f>+X27+5</f>
        <v>42944</v>
      </c>
      <c r="Z27" s="344">
        <f>+W27+1</f>
        <v>42935</v>
      </c>
      <c r="AA27" s="344">
        <f>+Z27+30</f>
        <v>42965</v>
      </c>
      <c r="AB27" s="453">
        <v>1844679752</v>
      </c>
      <c r="AC27" s="453">
        <f>AB27</f>
        <v>1844679752</v>
      </c>
      <c r="AD27" s="344">
        <f>+AA27+21</f>
        <v>42986</v>
      </c>
      <c r="AE27" s="344">
        <f>+AA27+21</f>
        <v>42986</v>
      </c>
      <c r="AF27" s="344">
        <f>+AE27+21</f>
        <v>43007</v>
      </c>
      <c r="AG27" s="344">
        <f>+AF27+365</f>
        <v>43372</v>
      </c>
    </row>
    <row r="28" spans="2:33" s="231" customFormat="1" ht="37.5" customHeight="1" x14ac:dyDescent="0.35">
      <c r="B28" s="286"/>
      <c r="C28" s="491"/>
      <c r="D28" s="493"/>
      <c r="E28" s="255"/>
      <c r="F28" s="255"/>
      <c r="G28" s="255"/>
      <c r="H28" s="450"/>
      <c r="I28" s="456"/>
      <c r="J28" s="456"/>
      <c r="K28" s="456"/>
      <c r="L28" s="456"/>
      <c r="M28" s="256" t="s">
        <v>34</v>
      </c>
      <c r="N28" s="458"/>
      <c r="O28" s="461"/>
      <c r="P28" s="456"/>
      <c r="Q28" s="456"/>
      <c r="R28" s="345"/>
      <c r="S28" s="345"/>
      <c r="T28" s="345"/>
      <c r="U28" s="345"/>
      <c r="V28" s="345"/>
      <c r="W28" s="345"/>
      <c r="X28" s="345"/>
      <c r="Y28" s="345"/>
      <c r="Z28" s="346"/>
      <c r="AA28" s="345"/>
      <c r="AB28" s="453"/>
      <c r="AC28" s="453"/>
      <c r="AD28" s="345"/>
      <c r="AE28" s="345"/>
      <c r="AF28" s="347"/>
      <c r="AG28" s="361">
        <v>45382</v>
      </c>
    </row>
    <row r="29" spans="2:33" s="231" customFormat="1" ht="46.8" customHeight="1" x14ac:dyDescent="0.35">
      <c r="B29" s="286"/>
      <c r="C29" s="491"/>
      <c r="D29" s="494"/>
      <c r="E29" s="255"/>
      <c r="F29" s="255"/>
      <c r="G29" s="255"/>
      <c r="H29" s="450"/>
      <c r="I29" s="457"/>
      <c r="J29" s="457"/>
      <c r="K29" s="457"/>
      <c r="L29" s="457"/>
      <c r="M29" s="257" t="s">
        <v>36</v>
      </c>
      <c r="N29" s="459"/>
      <c r="O29" s="462"/>
      <c r="P29" s="457"/>
      <c r="Q29" s="457"/>
      <c r="R29" s="341">
        <v>43115</v>
      </c>
      <c r="S29" s="341">
        <v>43312</v>
      </c>
      <c r="T29" s="341">
        <v>43332</v>
      </c>
      <c r="U29" s="341">
        <v>43369</v>
      </c>
      <c r="V29" s="341" t="s">
        <v>119</v>
      </c>
      <c r="W29" s="341">
        <v>43671</v>
      </c>
      <c r="X29" s="341">
        <f>+W29+1</f>
        <v>43672</v>
      </c>
      <c r="Y29" s="341">
        <f>+X29+80</f>
        <v>43752</v>
      </c>
      <c r="Z29" s="341">
        <v>43677</v>
      </c>
      <c r="AA29" s="341">
        <v>43747</v>
      </c>
      <c r="AB29" s="454"/>
      <c r="AC29" s="454"/>
      <c r="AD29" s="348" t="s">
        <v>120</v>
      </c>
      <c r="AE29" s="348" t="s">
        <v>121</v>
      </c>
      <c r="AF29" s="348" t="s">
        <v>122</v>
      </c>
      <c r="AG29" s="347"/>
    </row>
    <row r="30" spans="2:33" ht="18.75" customHeight="1" x14ac:dyDescent="0.35">
      <c r="B30" s="284"/>
      <c r="C30" s="281"/>
      <c r="D30" s="278"/>
      <c r="E30" s="264"/>
      <c r="F30" s="264"/>
      <c r="G30" s="264"/>
      <c r="H30" s="450"/>
      <c r="I30" s="264"/>
      <c r="J30" s="264"/>
      <c r="K30" s="264"/>
      <c r="L30" s="264"/>
      <c r="M30" s="265"/>
      <c r="N30" s="264"/>
      <c r="O30" s="264"/>
      <c r="P30" s="266"/>
      <c r="Q30" s="266"/>
      <c r="R30" s="349"/>
      <c r="S30" s="349"/>
      <c r="T30" s="349"/>
      <c r="U30" s="349"/>
      <c r="V30" s="349"/>
      <c r="W30" s="349"/>
      <c r="X30" s="349"/>
      <c r="Y30" s="349"/>
      <c r="Z30" s="349"/>
      <c r="AA30" s="349"/>
      <c r="AB30" s="349"/>
      <c r="AC30" s="349"/>
      <c r="AD30" s="349"/>
      <c r="AE30" s="349"/>
      <c r="AF30" s="349"/>
      <c r="AG30" s="349"/>
    </row>
    <row r="31" spans="2:33" ht="28.2" customHeight="1" x14ac:dyDescent="0.3">
      <c r="B31" s="284"/>
      <c r="C31" s="437" t="s">
        <v>319</v>
      </c>
      <c r="D31" s="440" t="s">
        <v>2</v>
      </c>
      <c r="E31" s="359"/>
      <c r="F31" s="359"/>
      <c r="G31" s="359"/>
      <c r="H31" s="450"/>
      <c r="I31" s="443" t="s">
        <v>112</v>
      </c>
      <c r="J31" s="446" t="s">
        <v>113</v>
      </c>
      <c r="K31" s="446" t="s">
        <v>113</v>
      </c>
      <c r="L31" s="455" t="s">
        <v>114</v>
      </c>
      <c r="M31" s="257" t="s">
        <v>0</v>
      </c>
      <c r="N31" s="446" t="s">
        <v>113</v>
      </c>
      <c r="O31" s="446" t="s">
        <v>113</v>
      </c>
      <c r="P31" s="446" t="s">
        <v>113</v>
      </c>
      <c r="Q31" s="446" t="s">
        <v>113</v>
      </c>
      <c r="R31" s="350" t="s">
        <v>256</v>
      </c>
      <c r="S31" s="351">
        <f>+R31+15+2</f>
        <v>45093</v>
      </c>
      <c r="T31" s="351">
        <f>+S31+10</f>
        <v>45103</v>
      </c>
      <c r="U31" s="351">
        <f>+T31+30</f>
        <v>45133</v>
      </c>
      <c r="V31" s="351">
        <v>45160</v>
      </c>
      <c r="W31" s="351">
        <f>+V31+15</f>
        <v>45175</v>
      </c>
      <c r="X31" s="351">
        <f>+W31+5</f>
        <v>45180</v>
      </c>
      <c r="Y31" s="351">
        <f>+X31+2</f>
        <v>45182</v>
      </c>
      <c r="Z31" s="351">
        <f>+Y31+5</f>
        <v>45187</v>
      </c>
      <c r="AA31" s="351">
        <f>+Z31+15</f>
        <v>45202</v>
      </c>
      <c r="AB31" s="453">
        <v>322854331</v>
      </c>
      <c r="AC31" s="453">
        <f>AB31</f>
        <v>322854331</v>
      </c>
      <c r="AD31" s="351">
        <f>+AA31+6</f>
        <v>45208</v>
      </c>
      <c r="AE31" s="351">
        <f>+AD31+15</f>
        <v>45223</v>
      </c>
      <c r="AF31" s="351">
        <f>+AE31+15</f>
        <v>45238</v>
      </c>
      <c r="AG31" s="351">
        <f>+AF31+150</f>
        <v>45388</v>
      </c>
    </row>
    <row r="32" spans="2:33" ht="28.2" customHeight="1" x14ac:dyDescent="0.35">
      <c r="B32" s="284"/>
      <c r="C32" s="438"/>
      <c r="D32" s="441"/>
      <c r="E32" s="359"/>
      <c r="F32" s="359"/>
      <c r="G32" s="359"/>
      <c r="H32" s="450"/>
      <c r="I32" s="444"/>
      <c r="J32" s="447"/>
      <c r="K32" s="447"/>
      <c r="L32" s="456"/>
      <c r="M32" s="256" t="s">
        <v>34</v>
      </c>
      <c r="N32" s="447"/>
      <c r="O32" s="447"/>
      <c r="P32" s="447"/>
      <c r="Q32" s="447"/>
      <c r="R32" s="352"/>
      <c r="S32" s="353"/>
      <c r="T32" s="353">
        <v>45154</v>
      </c>
      <c r="U32" s="353">
        <v>45203</v>
      </c>
      <c r="V32" s="353">
        <f>+U32+30</f>
        <v>45233</v>
      </c>
      <c r="W32" s="353">
        <f>+V32+30+2</f>
        <v>45265</v>
      </c>
      <c r="X32" s="353">
        <f>+W32+2</f>
        <v>45267</v>
      </c>
      <c r="Y32" s="353">
        <f>+X32+10</f>
        <v>45277</v>
      </c>
      <c r="Z32" s="353">
        <f>+Y32+3</f>
        <v>45280</v>
      </c>
      <c r="AA32" s="353">
        <f>+Z32+30+2</f>
        <v>45312</v>
      </c>
      <c r="AB32" s="453"/>
      <c r="AC32" s="453"/>
      <c r="AD32" s="353">
        <f>+AA32+4</f>
        <v>45316</v>
      </c>
      <c r="AE32" s="353">
        <f>+AD32+15</f>
        <v>45331</v>
      </c>
      <c r="AF32" s="353">
        <f>+AE32+15</f>
        <v>45346</v>
      </c>
      <c r="AG32" s="353">
        <f>+AF32+150</f>
        <v>45496</v>
      </c>
    </row>
    <row r="33" spans="2:33" ht="28.2" customHeight="1" x14ac:dyDescent="0.3">
      <c r="B33" s="284"/>
      <c r="C33" s="439"/>
      <c r="D33" s="442"/>
      <c r="E33" s="359"/>
      <c r="F33" s="359"/>
      <c r="G33" s="359"/>
      <c r="H33" s="450"/>
      <c r="I33" s="445"/>
      <c r="J33" s="448"/>
      <c r="K33" s="448"/>
      <c r="L33" s="457"/>
      <c r="M33" s="257" t="s">
        <v>36</v>
      </c>
      <c r="N33" s="448"/>
      <c r="O33" s="448"/>
      <c r="P33" s="448"/>
      <c r="Q33" s="448"/>
      <c r="R33" s="354" t="s">
        <v>261</v>
      </c>
      <c r="S33" s="354" t="s">
        <v>270</v>
      </c>
      <c r="T33" s="354" t="s">
        <v>271</v>
      </c>
      <c r="U33" s="354" t="s">
        <v>272</v>
      </c>
      <c r="V33" s="354" t="s">
        <v>273</v>
      </c>
      <c r="W33" s="354" t="s">
        <v>318</v>
      </c>
      <c r="X33" s="358">
        <v>45308</v>
      </c>
      <c r="Y33" s="358">
        <v>45323</v>
      </c>
      <c r="Z33" s="351"/>
      <c r="AA33" s="351"/>
      <c r="AB33" s="454"/>
      <c r="AC33" s="454"/>
      <c r="AD33" s="351"/>
      <c r="AE33" s="351"/>
      <c r="AF33" s="351"/>
      <c r="AG33" s="351"/>
    </row>
    <row r="34" spans="2:33" ht="28.2" customHeight="1" x14ac:dyDescent="0.3">
      <c r="B34" s="284"/>
      <c r="C34" s="452" t="s">
        <v>320</v>
      </c>
      <c r="D34" s="440" t="s">
        <v>2</v>
      </c>
      <c r="E34" s="360"/>
      <c r="F34" s="360"/>
      <c r="G34" s="360"/>
      <c r="H34" s="450"/>
      <c r="I34" s="443" t="s">
        <v>112</v>
      </c>
      <c r="J34" s="446" t="s">
        <v>113</v>
      </c>
      <c r="K34" s="446" t="s">
        <v>113</v>
      </c>
      <c r="L34" s="455" t="s">
        <v>114</v>
      </c>
      <c r="M34" s="257" t="s">
        <v>0</v>
      </c>
      <c r="N34" s="446" t="s">
        <v>113</v>
      </c>
      <c r="O34" s="446" t="s">
        <v>113</v>
      </c>
      <c r="P34" s="446" t="s">
        <v>113</v>
      </c>
      <c r="Q34" s="446" t="s">
        <v>113</v>
      </c>
      <c r="R34" s="350" t="s">
        <v>256</v>
      </c>
      <c r="S34" s="351">
        <f>+R34+15+2</f>
        <v>45093</v>
      </c>
      <c r="T34" s="351">
        <f>+S34+10</f>
        <v>45103</v>
      </c>
      <c r="U34" s="351">
        <f>+T34+30</f>
        <v>45133</v>
      </c>
      <c r="V34" s="351">
        <v>45160</v>
      </c>
      <c r="W34" s="351">
        <f>+V34+15</f>
        <v>45175</v>
      </c>
      <c r="X34" s="351">
        <f>+W34+5</f>
        <v>45180</v>
      </c>
      <c r="Y34" s="351">
        <f>+X34+2</f>
        <v>45182</v>
      </c>
      <c r="Z34" s="351">
        <f>+Y34+5</f>
        <v>45187</v>
      </c>
      <c r="AA34" s="351">
        <f>+Z34+15</f>
        <v>45202</v>
      </c>
      <c r="AB34" s="453">
        <v>287332572</v>
      </c>
      <c r="AC34" s="453">
        <f t="shared" ref="AC34" si="0">AB34</f>
        <v>287332572</v>
      </c>
      <c r="AD34" s="351">
        <f>+AA34+6</f>
        <v>45208</v>
      </c>
      <c r="AE34" s="351">
        <f>+AD34+15</f>
        <v>45223</v>
      </c>
      <c r="AF34" s="351">
        <f>+AE34+15</f>
        <v>45238</v>
      </c>
      <c r="AG34" s="351">
        <f>+AF34+150</f>
        <v>45388</v>
      </c>
    </row>
    <row r="35" spans="2:33" ht="28.2" customHeight="1" x14ac:dyDescent="0.35">
      <c r="B35" s="284"/>
      <c r="C35" s="452"/>
      <c r="D35" s="441"/>
      <c r="E35" s="360"/>
      <c r="F35" s="360"/>
      <c r="G35" s="360"/>
      <c r="H35" s="450"/>
      <c r="I35" s="444"/>
      <c r="J35" s="447"/>
      <c r="K35" s="447"/>
      <c r="L35" s="456"/>
      <c r="M35" s="256" t="s">
        <v>34</v>
      </c>
      <c r="N35" s="447"/>
      <c r="O35" s="447"/>
      <c r="P35" s="447"/>
      <c r="Q35" s="447"/>
      <c r="R35" s="352"/>
      <c r="S35" s="353"/>
      <c r="T35" s="353">
        <v>45154</v>
      </c>
      <c r="U35" s="353">
        <v>45203</v>
      </c>
      <c r="V35" s="353">
        <f>+U35+30</f>
        <v>45233</v>
      </c>
      <c r="W35" s="353">
        <f>+V35+30+2</f>
        <v>45265</v>
      </c>
      <c r="X35" s="353">
        <f>+W35+2</f>
        <v>45267</v>
      </c>
      <c r="Y35" s="353">
        <f>+X35+10</f>
        <v>45277</v>
      </c>
      <c r="Z35" s="353">
        <f>+Y35+3</f>
        <v>45280</v>
      </c>
      <c r="AA35" s="353">
        <f>+Z35+30+2</f>
        <v>45312</v>
      </c>
      <c r="AB35" s="453"/>
      <c r="AC35" s="453"/>
      <c r="AD35" s="353">
        <f>+AA35+4</f>
        <v>45316</v>
      </c>
      <c r="AE35" s="353">
        <f>+AD35+15</f>
        <v>45331</v>
      </c>
      <c r="AF35" s="353">
        <f>+AE35+15</f>
        <v>45346</v>
      </c>
      <c r="AG35" s="353">
        <f>+AF35+150</f>
        <v>45496</v>
      </c>
    </row>
    <row r="36" spans="2:33" ht="28.2" customHeight="1" x14ac:dyDescent="0.3">
      <c r="B36" s="284"/>
      <c r="C36" s="452"/>
      <c r="D36" s="442"/>
      <c r="E36" s="360"/>
      <c r="F36" s="360"/>
      <c r="G36" s="360"/>
      <c r="H36" s="450"/>
      <c r="I36" s="445"/>
      <c r="J36" s="448"/>
      <c r="K36" s="448"/>
      <c r="L36" s="457"/>
      <c r="M36" s="257" t="s">
        <v>36</v>
      </c>
      <c r="N36" s="448"/>
      <c r="O36" s="448"/>
      <c r="P36" s="448"/>
      <c r="Q36" s="448"/>
      <c r="R36" s="354" t="s">
        <v>261</v>
      </c>
      <c r="S36" s="354" t="s">
        <v>270</v>
      </c>
      <c r="T36" s="354" t="s">
        <v>271</v>
      </c>
      <c r="U36" s="354" t="s">
        <v>272</v>
      </c>
      <c r="V36" s="354" t="s">
        <v>273</v>
      </c>
      <c r="W36" s="354" t="s">
        <v>318</v>
      </c>
      <c r="X36" s="358">
        <v>45308</v>
      </c>
      <c r="Y36" s="358">
        <v>45323</v>
      </c>
      <c r="Z36" s="351"/>
      <c r="AA36" s="351"/>
      <c r="AB36" s="454"/>
      <c r="AC36" s="454"/>
      <c r="AD36" s="351"/>
      <c r="AE36" s="351"/>
      <c r="AF36" s="351"/>
      <c r="AG36" s="351"/>
    </row>
    <row r="37" spans="2:33" ht="28.2" customHeight="1" x14ac:dyDescent="0.3">
      <c r="B37" s="284"/>
      <c r="C37" s="452" t="s">
        <v>321</v>
      </c>
      <c r="D37" s="440" t="s">
        <v>2</v>
      </c>
      <c r="E37" s="360"/>
      <c r="F37" s="360"/>
      <c r="G37" s="360"/>
      <c r="H37" s="450"/>
      <c r="I37" s="443" t="s">
        <v>112</v>
      </c>
      <c r="J37" s="446" t="s">
        <v>113</v>
      </c>
      <c r="K37" s="446" t="s">
        <v>113</v>
      </c>
      <c r="L37" s="455" t="s">
        <v>114</v>
      </c>
      <c r="M37" s="257" t="s">
        <v>0</v>
      </c>
      <c r="N37" s="446" t="s">
        <v>113</v>
      </c>
      <c r="O37" s="446" t="s">
        <v>113</v>
      </c>
      <c r="P37" s="446" t="s">
        <v>113</v>
      </c>
      <c r="Q37" s="446" t="s">
        <v>113</v>
      </c>
      <c r="R37" s="350" t="s">
        <v>256</v>
      </c>
      <c r="S37" s="351">
        <f>+R37+15+2</f>
        <v>45093</v>
      </c>
      <c r="T37" s="351">
        <f>+S37+10</f>
        <v>45103</v>
      </c>
      <c r="U37" s="351">
        <f>+T37+30</f>
        <v>45133</v>
      </c>
      <c r="V37" s="351">
        <v>45160</v>
      </c>
      <c r="W37" s="351">
        <f>+V37+15</f>
        <v>45175</v>
      </c>
      <c r="X37" s="351">
        <f>+W37+5</f>
        <v>45180</v>
      </c>
      <c r="Y37" s="351">
        <f>+X37+2</f>
        <v>45182</v>
      </c>
      <c r="Z37" s="351">
        <f>+Y37+5</f>
        <v>45187</v>
      </c>
      <c r="AA37" s="351">
        <f>+Z37+15</f>
        <v>45202</v>
      </c>
      <c r="AB37" s="453">
        <v>334658061</v>
      </c>
      <c r="AC37" s="453">
        <f t="shared" ref="AC37" si="1">AB37</f>
        <v>334658061</v>
      </c>
      <c r="AD37" s="351">
        <f>+AA37+6</f>
        <v>45208</v>
      </c>
      <c r="AE37" s="351">
        <f>+AD37+15</f>
        <v>45223</v>
      </c>
      <c r="AF37" s="351">
        <f>+AE37+15</f>
        <v>45238</v>
      </c>
      <c r="AG37" s="351">
        <f>+AF37+150</f>
        <v>45388</v>
      </c>
    </row>
    <row r="38" spans="2:33" ht="28.2" customHeight="1" x14ac:dyDescent="0.35">
      <c r="B38" s="284"/>
      <c r="C38" s="452"/>
      <c r="D38" s="441"/>
      <c r="E38" s="360"/>
      <c r="F38" s="360"/>
      <c r="G38" s="360"/>
      <c r="H38" s="450"/>
      <c r="I38" s="444"/>
      <c r="J38" s="447"/>
      <c r="K38" s="447"/>
      <c r="L38" s="456"/>
      <c r="M38" s="256" t="s">
        <v>34</v>
      </c>
      <c r="N38" s="447"/>
      <c r="O38" s="447"/>
      <c r="P38" s="447"/>
      <c r="Q38" s="447"/>
      <c r="R38" s="352"/>
      <c r="S38" s="353"/>
      <c r="T38" s="353">
        <v>45154</v>
      </c>
      <c r="U38" s="353">
        <v>45203</v>
      </c>
      <c r="V38" s="353">
        <f>+U38+30</f>
        <v>45233</v>
      </c>
      <c r="W38" s="353">
        <f>+V38+30+2</f>
        <v>45265</v>
      </c>
      <c r="X38" s="353">
        <f>+W38+2</f>
        <v>45267</v>
      </c>
      <c r="Y38" s="353">
        <f>+X38+10</f>
        <v>45277</v>
      </c>
      <c r="Z38" s="353">
        <f>+Y38+3</f>
        <v>45280</v>
      </c>
      <c r="AA38" s="353">
        <f>+Z38+30+2</f>
        <v>45312</v>
      </c>
      <c r="AB38" s="453"/>
      <c r="AC38" s="453"/>
      <c r="AD38" s="353">
        <f>+AA38+4</f>
        <v>45316</v>
      </c>
      <c r="AE38" s="353">
        <f>+AD38+15</f>
        <v>45331</v>
      </c>
      <c r="AF38" s="353">
        <f>+AE38+15</f>
        <v>45346</v>
      </c>
      <c r="AG38" s="353">
        <f>+AF38+150</f>
        <v>45496</v>
      </c>
    </row>
    <row r="39" spans="2:33" ht="28.2" customHeight="1" x14ac:dyDescent="0.3">
      <c r="B39" s="284"/>
      <c r="C39" s="452"/>
      <c r="D39" s="442"/>
      <c r="E39" s="360"/>
      <c r="F39" s="360"/>
      <c r="G39" s="360"/>
      <c r="H39" s="450"/>
      <c r="I39" s="445"/>
      <c r="J39" s="448"/>
      <c r="K39" s="448"/>
      <c r="L39" s="457"/>
      <c r="M39" s="257" t="s">
        <v>36</v>
      </c>
      <c r="N39" s="448"/>
      <c r="O39" s="448"/>
      <c r="P39" s="448"/>
      <c r="Q39" s="448"/>
      <c r="R39" s="354" t="s">
        <v>261</v>
      </c>
      <c r="S39" s="354" t="s">
        <v>270</v>
      </c>
      <c r="T39" s="354" t="s">
        <v>271</v>
      </c>
      <c r="U39" s="354" t="s">
        <v>272</v>
      </c>
      <c r="V39" s="354" t="s">
        <v>273</v>
      </c>
      <c r="W39" s="354" t="s">
        <v>318</v>
      </c>
      <c r="X39" s="358">
        <v>45308</v>
      </c>
      <c r="Y39" s="358">
        <v>45323</v>
      </c>
      <c r="Z39" s="351"/>
      <c r="AA39" s="351"/>
      <c r="AB39" s="454"/>
      <c r="AC39" s="454"/>
      <c r="AD39" s="351"/>
      <c r="AE39" s="351"/>
      <c r="AF39" s="351"/>
      <c r="AG39" s="351"/>
    </row>
    <row r="40" spans="2:33" ht="28.2" customHeight="1" x14ac:dyDescent="0.3">
      <c r="B40" s="284"/>
      <c r="C40" s="452" t="s">
        <v>330</v>
      </c>
      <c r="D40" s="440" t="s">
        <v>2</v>
      </c>
      <c r="E40" s="360"/>
      <c r="F40" s="360"/>
      <c r="G40" s="360"/>
      <c r="H40" s="450"/>
      <c r="I40" s="443" t="s">
        <v>112</v>
      </c>
      <c r="J40" s="446" t="s">
        <v>113</v>
      </c>
      <c r="K40" s="446" t="s">
        <v>113</v>
      </c>
      <c r="L40" s="455" t="s">
        <v>114</v>
      </c>
      <c r="M40" s="257" t="s">
        <v>0</v>
      </c>
      <c r="N40" s="446" t="s">
        <v>113</v>
      </c>
      <c r="O40" s="446" t="s">
        <v>113</v>
      </c>
      <c r="P40" s="446" t="s">
        <v>113</v>
      </c>
      <c r="Q40" s="446" t="s">
        <v>113</v>
      </c>
      <c r="R40" s="350" t="s">
        <v>256</v>
      </c>
      <c r="S40" s="351">
        <f>+R40+15+2</f>
        <v>45093</v>
      </c>
      <c r="T40" s="351">
        <f>+S40+10</f>
        <v>45103</v>
      </c>
      <c r="U40" s="351">
        <f>+T40+30</f>
        <v>45133</v>
      </c>
      <c r="V40" s="351">
        <v>45160</v>
      </c>
      <c r="W40" s="351">
        <f>+V40+15</f>
        <v>45175</v>
      </c>
      <c r="X40" s="351">
        <f>+W40+5</f>
        <v>45180</v>
      </c>
      <c r="Y40" s="351">
        <f>+X40+2</f>
        <v>45182</v>
      </c>
      <c r="Z40" s="351">
        <f>+Y40+5</f>
        <v>45187</v>
      </c>
      <c r="AA40" s="351">
        <f>+Z40+15</f>
        <v>45202</v>
      </c>
      <c r="AB40" s="453">
        <v>351302006</v>
      </c>
      <c r="AC40" s="453">
        <f t="shared" ref="AC40" si="2">AB40</f>
        <v>351302006</v>
      </c>
      <c r="AD40" s="351">
        <f>+AA40+6</f>
        <v>45208</v>
      </c>
      <c r="AE40" s="351">
        <f>+AD40+15</f>
        <v>45223</v>
      </c>
      <c r="AF40" s="351">
        <f>+AE40+15</f>
        <v>45238</v>
      </c>
      <c r="AG40" s="351">
        <f>+AF40+150</f>
        <v>45388</v>
      </c>
    </row>
    <row r="41" spans="2:33" ht="28.2" customHeight="1" x14ac:dyDescent="0.35">
      <c r="B41" s="284"/>
      <c r="C41" s="452"/>
      <c r="D41" s="441"/>
      <c r="E41" s="360"/>
      <c r="F41" s="360"/>
      <c r="G41" s="360"/>
      <c r="H41" s="450"/>
      <c r="I41" s="444"/>
      <c r="J41" s="447"/>
      <c r="K41" s="447"/>
      <c r="L41" s="456"/>
      <c r="M41" s="256" t="s">
        <v>34</v>
      </c>
      <c r="N41" s="447"/>
      <c r="O41" s="447"/>
      <c r="P41" s="447"/>
      <c r="Q41" s="447"/>
      <c r="R41" s="352"/>
      <c r="S41" s="353"/>
      <c r="T41" s="353">
        <v>45154</v>
      </c>
      <c r="U41" s="353">
        <v>45203</v>
      </c>
      <c r="V41" s="353">
        <f>+U41+30</f>
        <v>45233</v>
      </c>
      <c r="W41" s="353">
        <f>+V41+30+2</f>
        <v>45265</v>
      </c>
      <c r="X41" s="353">
        <f>+W41+2</f>
        <v>45267</v>
      </c>
      <c r="Y41" s="353">
        <f>+X41+10</f>
        <v>45277</v>
      </c>
      <c r="Z41" s="353">
        <f>+Y41+3</f>
        <v>45280</v>
      </c>
      <c r="AA41" s="353">
        <f>+Z41+30+2</f>
        <v>45312</v>
      </c>
      <c r="AB41" s="453"/>
      <c r="AC41" s="453"/>
      <c r="AD41" s="353">
        <f>+AA41+4</f>
        <v>45316</v>
      </c>
      <c r="AE41" s="353">
        <f>+AD41+15</f>
        <v>45331</v>
      </c>
      <c r="AF41" s="353">
        <f>+AE41+15</f>
        <v>45346</v>
      </c>
      <c r="AG41" s="353">
        <f>+AF41+150</f>
        <v>45496</v>
      </c>
    </row>
    <row r="42" spans="2:33" ht="28.2" customHeight="1" x14ac:dyDescent="0.3">
      <c r="B42" s="284"/>
      <c r="C42" s="452"/>
      <c r="D42" s="442"/>
      <c r="E42" s="360"/>
      <c r="F42" s="360"/>
      <c r="G42" s="360"/>
      <c r="H42" s="451"/>
      <c r="I42" s="445"/>
      <c r="J42" s="448"/>
      <c r="K42" s="448"/>
      <c r="L42" s="457"/>
      <c r="M42" s="257" t="s">
        <v>36</v>
      </c>
      <c r="N42" s="448"/>
      <c r="O42" s="448"/>
      <c r="P42" s="448"/>
      <c r="Q42" s="448"/>
      <c r="R42" s="354" t="s">
        <v>261</v>
      </c>
      <c r="S42" s="354" t="s">
        <v>270</v>
      </c>
      <c r="T42" s="354" t="s">
        <v>271</v>
      </c>
      <c r="U42" s="354" t="s">
        <v>272</v>
      </c>
      <c r="V42" s="354" t="s">
        <v>273</v>
      </c>
      <c r="W42" s="354" t="s">
        <v>318</v>
      </c>
      <c r="X42" s="358">
        <v>45308</v>
      </c>
      <c r="Y42" s="358">
        <v>45323</v>
      </c>
      <c r="Z42" s="351"/>
      <c r="AA42" s="351"/>
      <c r="AB42" s="454"/>
      <c r="AC42" s="454"/>
      <c r="AD42" s="351"/>
      <c r="AE42" s="351"/>
      <c r="AF42" s="351"/>
      <c r="AG42" s="351"/>
    </row>
    <row r="43" spans="2:33" s="245" customFormat="1" ht="28.2" customHeight="1" thickBot="1" x14ac:dyDescent="0.3">
      <c r="B43" s="246"/>
      <c r="C43" s="282" t="s">
        <v>269</v>
      </c>
      <c r="D43" s="279"/>
      <c r="E43" s="247"/>
      <c r="F43" s="247"/>
      <c r="G43" s="247"/>
      <c r="H43" s="248">
        <f>+H23</f>
        <v>6787377</v>
      </c>
      <c r="I43" s="247"/>
      <c r="J43" s="249"/>
      <c r="K43" s="249"/>
      <c r="L43" s="247"/>
      <c r="M43" s="249"/>
      <c r="N43" s="249"/>
      <c r="O43" s="247"/>
      <c r="P43" s="247"/>
      <c r="Q43" s="247"/>
      <c r="R43" s="355"/>
      <c r="S43" s="355"/>
      <c r="T43" s="355"/>
      <c r="U43" s="355"/>
      <c r="V43" s="355"/>
      <c r="W43" s="355"/>
      <c r="X43" s="355"/>
      <c r="Y43" s="355"/>
      <c r="Z43" s="355"/>
      <c r="AA43" s="355"/>
      <c r="AB43" s="356">
        <f>+AB23+AB27+AB31+AB34+AB37+AB40</f>
        <v>4092206994</v>
      </c>
      <c r="AC43" s="356">
        <f>+AC23+AC27+AC31+AC34+AC37+AC40</f>
        <v>4092206994</v>
      </c>
      <c r="AD43" s="355"/>
      <c r="AE43" s="355"/>
      <c r="AF43" s="355"/>
      <c r="AG43" s="355"/>
    </row>
    <row r="44" spans="2:33" x14ac:dyDescent="0.3">
      <c r="B44" s="284"/>
      <c r="C44" s="219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</row>
    <row r="45" spans="2:33" ht="24.6" customHeight="1" x14ac:dyDescent="0.5">
      <c r="B45" s="284"/>
      <c r="C45" s="232" t="s">
        <v>28</v>
      </c>
      <c r="D45" s="16"/>
      <c r="E45" s="16"/>
      <c r="F45" s="431" t="s">
        <v>85</v>
      </c>
      <c r="G45" s="250" t="s">
        <v>0</v>
      </c>
      <c r="H45" s="251">
        <f>+H43</f>
        <v>6787377</v>
      </c>
      <c r="I45" s="16"/>
      <c r="J45" s="233"/>
      <c r="K45" s="233"/>
      <c r="L45" s="233"/>
      <c r="M45" s="233"/>
      <c r="N45" s="233"/>
      <c r="O45" s="233"/>
      <c r="P45" s="233"/>
      <c r="Q45" s="234"/>
      <c r="R45" s="234"/>
      <c r="S45" s="234"/>
      <c r="T45" s="234"/>
      <c r="U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</row>
    <row r="46" spans="2:33" ht="24.6" customHeight="1" x14ac:dyDescent="0.3">
      <c r="B46" s="284"/>
      <c r="C46" s="232" t="s">
        <v>29</v>
      </c>
      <c r="D46" s="16"/>
      <c r="E46" s="16"/>
      <c r="F46" s="432"/>
      <c r="G46" s="252" t="s">
        <v>58</v>
      </c>
      <c r="H46" s="25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</row>
    <row r="47" spans="2:33" ht="24.6" customHeight="1" x14ac:dyDescent="0.3">
      <c r="B47" s="284"/>
      <c r="C47" s="232" t="s">
        <v>130</v>
      </c>
      <c r="D47" s="16"/>
      <c r="E47" s="16"/>
      <c r="F47" s="433"/>
      <c r="G47" s="254" t="s">
        <v>86</v>
      </c>
      <c r="H47" s="25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</row>
    <row r="48" spans="2:33" x14ac:dyDescent="0.3">
      <c r="B48" s="284"/>
      <c r="C48" s="20"/>
      <c r="D48" s="16"/>
      <c r="E48" s="16"/>
      <c r="F48" s="16"/>
      <c r="G48" s="16"/>
      <c r="H48" s="16"/>
      <c r="I48" s="16"/>
      <c r="J48" s="16"/>
      <c r="K48" s="16"/>
      <c r="L48" s="18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8"/>
      <c r="Z48" s="16"/>
      <c r="AA48" s="16"/>
      <c r="AB48" s="16"/>
      <c r="AC48" s="16"/>
      <c r="AD48" s="16"/>
      <c r="AE48" s="16"/>
      <c r="AF48" s="16"/>
      <c r="AG48" s="16"/>
    </row>
    <row r="49" spans="2:33" x14ac:dyDescent="0.3">
      <c r="B49" s="284"/>
      <c r="C49" s="20" t="s">
        <v>30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</row>
    <row r="50" spans="2:33" x14ac:dyDescent="0.3">
      <c r="B50" s="284"/>
      <c r="C50" s="235" t="s">
        <v>31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</row>
    <row r="51" spans="2:33" x14ac:dyDescent="0.3">
      <c r="B51" s="284"/>
      <c r="C51" s="235" t="s">
        <v>32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</row>
    <row r="52" spans="2:33" x14ac:dyDescent="0.3">
      <c r="B52" s="284"/>
      <c r="C52" s="235" t="s">
        <v>33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</row>
    <row r="53" spans="2:33" x14ac:dyDescent="0.3">
      <c r="D53" s="236"/>
      <c r="E53" s="236"/>
    </row>
  </sheetData>
  <mergeCells count="93">
    <mergeCell ref="C2:S2"/>
    <mergeCell ref="AC40:AC42"/>
    <mergeCell ref="AC31:AC33"/>
    <mergeCell ref="AB34:AB36"/>
    <mergeCell ref="AC34:AC36"/>
    <mergeCell ref="AB37:AB39"/>
    <mergeCell ref="AC37:AC39"/>
    <mergeCell ref="Q31:Q33"/>
    <mergeCell ref="Q34:Q36"/>
    <mergeCell ref="Q37:Q39"/>
    <mergeCell ref="Q40:Q42"/>
    <mergeCell ref="AB31:AB33"/>
    <mergeCell ref="AB40:AB42"/>
    <mergeCell ref="O31:O33"/>
    <mergeCell ref="O34:O36"/>
    <mergeCell ref="O37:O39"/>
    <mergeCell ref="O40:O42"/>
    <mergeCell ref="P31:P33"/>
    <mergeCell ref="P34:P36"/>
    <mergeCell ref="P37:P39"/>
    <mergeCell ref="P40:P42"/>
    <mergeCell ref="L34:L36"/>
    <mergeCell ref="L37:L39"/>
    <mergeCell ref="L40:L42"/>
    <mergeCell ref="N31:N33"/>
    <mergeCell ref="N34:N36"/>
    <mergeCell ref="N37:N39"/>
    <mergeCell ref="N40:N42"/>
    <mergeCell ref="I37:I39"/>
    <mergeCell ref="J37:J39"/>
    <mergeCell ref="K37:K39"/>
    <mergeCell ref="I40:I42"/>
    <mergeCell ref="J40:J42"/>
    <mergeCell ref="K40:K42"/>
    <mergeCell ref="AF21:AG21"/>
    <mergeCell ref="C23:C25"/>
    <mergeCell ref="D27:D29"/>
    <mergeCell ref="C27:C29"/>
    <mergeCell ref="I23:I25"/>
    <mergeCell ref="I27:I29"/>
    <mergeCell ref="AC21:AE21"/>
    <mergeCell ref="N21:O21"/>
    <mergeCell ref="T21:U21"/>
    <mergeCell ref="P21:Q21"/>
    <mergeCell ref="R21:S21"/>
    <mergeCell ref="D23:D25"/>
    <mergeCell ref="L23:L25"/>
    <mergeCell ref="V21:W21"/>
    <mergeCell ref="D6:I6"/>
    <mergeCell ref="D21:M21"/>
    <mergeCell ref="G20:I20"/>
    <mergeCell ref="I19:J19"/>
    <mergeCell ref="D11:I11"/>
    <mergeCell ref="D15:G16"/>
    <mergeCell ref="H15:J17"/>
    <mergeCell ref="D10:I10"/>
    <mergeCell ref="D12:I12"/>
    <mergeCell ref="H18:J18"/>
    <mergeCell ref="K31:K33"/>
    <mergeCell ref="L31:L33"/>
    <mergeCell ref="J27:J29"/>
    <mergeCell ref="K23:K25"/>
    <mergeCell ref="K27:K29"/>
    <mergeCell ref="J23:J25"/>
    <mergeCell ref="AC27:AC29"/>
    <mergeCell ref="AC23:AC25"/>
    <mergeCell ref="L27:L29"/>
    <mergeCell ref="N23:N25"/>
    <mergeCell ref="N27:N29"/>
    <mergeCell ref="O23:O25"/>
    <mergeCell ref="O27:O29"/>
    <mergeCell ref="P23:P25"/>
    <mergeCell ref="P27:P29"/>
    <mergeCell ref="Q23:Q25"/>
    <mergeCell ref="Q27:Q29"/>
    <mergeCell ref="AB23:AB25"/>
    <mergeCell ref="AB27:AB29"/>
    <mergeCell ref="F45:F47"/>
    <mergeCell ref="Z21:AB21"/>
    <mergeCell ref="C31:C33"/>
    <mergeCell ref="D31:D33"/>
    <mergeCell ref="I31:I33"/>
    <mergeCell ref="J31:J33"/>
    <mergeCell ref="H23:H42"/>
    <mergeCell ref="C34:C36"/>
    <mergeCell ref="C37:C39"/>
    <mergeCell ref="C40:C42"/>
    <mergeCell ref="D34:D36"/>
    <mergeCell ref="D37:D39"/>
    <mergeCell ref="D40:D42"/>
    <mergeCell ref="I34:I36"/>
    <mergeCell ref="J34:J36"/>
    <mergeCell ref="K34:K36"/>
  </mergeCells>
  <phoneticPr fontId="2" type="noConversion"/>
  <printOptions horizontalCentered="1" verticalCentered="1"/>
  <pageMargins left="0.15748031496062992" right="0.15748031496062992" top="0.23622047244094491" bottom="0.23622047244094491" header="0.23622047244094491" footer="0.23622047244094491"/>
  <pageSetup paperSize="8" scale="41" fitToWidth="0" fitToHeight="0" orientation="landscape" r:id="rId1"/>
  <headerFooter alignWithMargins="0">
    <oddHeader xml:space="preserve">&amp;C&amp;"Times New Roman,Bold"&amp;14Procurement Plan-&amp;A </oddHeader>
    <oddFooter>&amp;L&amp;"Times New Roman,Normal"&amp;F&amp;C&amp;"Times New Roman,Normal"Page &amp;"Times New Roman,Gras"&amp;P |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AP152"/>
  <sheetViews>
    <sheetView showGridLines="0" view="pageBreakPreview" zoomScale="70" zoomScaleNormal="100" zoomScaleSheetLayoutView="70" workbookViewId="0">
      <selection activeCell="L11" sqref="L11"/>
    </sheetView>
  </sheetViews>
  <sheetFormatPr baseColWidth="10" defaultColWidth="9.109375" defaultRowHeight="15.6" x14ac:dyDescent="0.3"/>
  <cols>
    <col min="1" max="1" width="1.44140625" style="106" customWidth="1"/>
    <col min="2" max="2" width="3.33203125" style="212" customWidth="1"/>
    <col min="3" max="3" width="45.5546875" style="106" customWidth="1"/>
    <col min="4" max="5" width="15.6640625" style="106" customWidth="1"/>
    <col min="6" max="6" width="17" style="106" customWidth="1"/>
    <col min="7" max="7" width="15.6640625" style="106" customWidth="1"/>
    <col min="8" max="8" width="18.33203125" style="106" customWidth="1"/>
    <col min="9" max="11" width="15.6640625" style="106" customWidth="1"/>
    <col min="12" max="13" width="14.109375" style="106" customWidth="1"/>
    <col min="14" max="14" width="8.88671875" style="106" customWidth="1"/>
    <col min="15" max="20" width="13.88671875" style="106" customWidth="1"/>
    <col min="21" max="21" width="15.5546875" style="106" customWidth="1"/>
    <col min="22" max="28" width="13.88671875" style="106" customWidth="1"/>
    <col min="29" max="30" width="18.109375" style="106" customWidth="1"/>
    <col min="31" max="32" width="14.109375" style="106" customWidth="1"/>
    <col min="33" max="33" width="14.88671875" style="106" customWidth="1"/>
    <col min="34" max="34" width="14.44140625" style="106" customWidth="1"/>
    <col min="35" max="35" width="2" style="106" customWidth="1"/>
    <col min="36" max="16384" width="9.109375" style="106"/>
  </cols>
  <sheetData>
    <row r="1" spans="2:34" x14ac:dyDescent="0.3"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</row>
    <row r="2" spans="2:34" ht="23.25" customHeight="1" x14ac:dyDescent="0.3">
      <c r="C2" s="709" t="s">
        <v>135</v>
      </c>
      <c r="D2" s="709"/>
      <c r="E2" s="709"/>
      <c r="F2" s="709"/>
      <c r="G2" s="709"/>
      <c r="H2" s="709"/>
      <c r="I2" s="709"/>
      <c r="J2" s="709"/>
      <c r="K2" s="709"/>
      <c r="L2" s="709"/>
      <c r="M2" s="709"/>
      <c r="N2" s="709"/>
      <c r="O2" s="709"/>
      <c r="P2" s="709"/>
      <c r="Q2" s="709"/>
      <c r="R2" s="709"/>
      <c r="S2" s="709"/>
      <c r="T2" s="709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</row>
    <row r="3" spans="2:34" ht="15" customHeight="1" x14ac:dyDescent="0.3">
      <c r="C3" s="107"/>
      <c r="D3" s="107"/>
      <c r="E3" s="107"/>
      <c r="F3" s="107"/>
      <c r="G3" s="290"/>
      <c r="H3" s="287"/>
      <c r="I3" s="287"/>
      <c r="J3" s="287"/>
      <c r="K3" s="28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</row>
    <row r="4" spans="2:34" x14ac:dyDescent="0.3">
      <c r="B4" s="212" t="s">
        <v>2</v>
      </c>
      <c r="C4" s="211" t="s">
        <v>8</v>
      </c>
      <c r="D4" s="108" t="s">
        <v>73</v>
      </c>
      <c r="E4" s="108"/>
      <c r="F4" s="108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</row>
    <row r="5" spans="2:34" ht="18.75" customHeight="1" x14ac:dyDescent="0.3">
      <c r="C5" s="8" t="s">
        <v>9</v>
      </c>
      <c r="D5" s="109" t="s">
        <v>124</v>
      </c>
      <c r="E5" s="110"/>
      <c r="F5" s="110"/>
      <c r="G5" s="110"/>
      <c r="H5" s="111"/>
      <c r="I5" s="112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</row>
    <row r="6" spans="2:34" ht="36" customHeight="1" x14ac:dyDescent="0.3">
      <c r="C6" s="8" t="s">
        <v>10</v>
      </c>
      <c r="D6" s="598" t="s">
        <v>125</v>
      </c>
      <c r="E6" s="599"/>
      <c r="F6" s="599"/>
      <c r="G6" s="599"/>
      <c r="H6" s="599"/>
      <c r="I6" s="600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</row>
    <row r="7" spans="2:34" ht="18.75" customHeight="1" x14ac:dyDescent="0.3">
      <c r="C7" s="8" t="s">
        <v>11</v>
      </c>
      <c r="D7" s="109" t="s">
        <v>126</v>
      </c>
      <c r="E7" s="110"/>
      <c r="F7" s="110"/>
      <c r="G7" s="110"/>
      <c r="H7" s="111"/>
      <c r="I7" s="112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</row>
    <row r="8" spans="2:34" ht="18.75" customHeight="1" x14ac:dyDescent="0.3">
      <c r="C8" s="9" t="s">
        <v>75</v>
      </c>
      <c r="D8" s="109" t="s">
        <v>127</v>
      </c>
      <c r="E8" s="110"/>
      <c r="F8" s="110"/>
      <c r="G8" s="110"/>
      <c r="H8" s="111"/>
      <c r="I8" s="112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</row>
    <row r="9" spans="2:34" ht="21" customHeight="1" x14ac:dyDescent="0.3">
      <c r="C9" s="9" t="s">
        <v>12</v>
      </c>
      <c r="D9" s="109" t="s">
        <v>128</v>
      </c>
      <c r="E9" s="110"/>
      <c r="F9" s="110"/>
      <c r="G9" s="110"/>
      <c r="H9" s="111"/>
      <c r="I9" s="112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</row>
    <row r="10" spans="2:34" ht="27.6" x14ac:dyDescent="0.3">
      <c r="C10" s="9" t="s">
        <v>13</v>
      </c>
      <c r="D10" s="601" t="s">
        <v>244</v>
      </c>
      <c r="E10" s="602"/>
      <c r="F10" s="602"/>
      <c r="G10" s="602"/>
      <c r="H10" s="602"/>
      <c r="I10" s="603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</row>
    <row r="11" spans="2:34" ht="27.6" x14ac:dyDescent="0.3">
      <c r="C11" s="9" t="s">
        <v>14</v>
      </c>
      <c r="D11" s="575" t="s">
        <v>245</v>
      </c>
      <c r="E11" s="576"/>
      <c r="F11" s="576"/>
      <c r="G11" s="576"/>
      <c r="H11" s="576"/>
      <c r="I11" s="57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</row>
    <row r="12" spans="2:34" ht="19.5" customHeight="1" x14ac:dyDescent="0.3">
      <c r="C12" s="9" t="s">
        <v>15</v>
      </c>
      <c r="D12" s="575" t="s">
        <v>73</v>
      </c>
      <c r="E12" s="576"/>
      <c r="F12" s="576"/>
      <c r="G12" s="576"/>
      <c r="H12" s="576"/>
      <c r="I12" s="57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</row>
    <row r="13" spans="2:34" ht="19.5" customHeight="1" x14ac:dyDescent="0.3">
      <c r="C13" s="9" t="s">
        <v>16</v>
      </c>
      <c r="D13" s="113" t="s">
        <v>248</v>
      </c>
      <c r="E13" s="113"/>
      <c r="F13" s="113"/>
      <c r="G13" s="113"/>
      <c r="H13" s="113"/>
      <c r="I13" s="114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</row>
    <row r="14" spans="2:34" x14ac:dyDescent="0.3">
      <c r="C14" s="115"/>
      <c r="D14" s="116"/>
      <c r="E14" s="116"/>
      <c r="F14" s="116"/>
      <c r="G14" s="116"/>
      <c r="H14" s="116"/>
      <c r="I14" s="116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</row>
    <row r="15" spans="2:34" x14ac:dyDescent="0.3">
      <c r="C15" s="117" t="s">
        <v>17</v>
      </c>
      <c r="D15" s="118" t="s">
        <v>73</v>
      </c>
      <c r="E15" s="118"/>
      <c r="F15" s="118"/>
      <c r="G15" s="116"/>
      <c r="H15" s="116"/>
      <c r="I15" s="116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</row>
    <row r="16" spans="2:34" ht="18" x14ac:dyDescent="0.35">
      <c r="C16" s="115"/>
      <c r="D16" s="107"/>
      <c r="E16" s="107"/>
      <c r="F16" s="107"/>
      <c r="G16" s="107"/>
      <c r="H16" s="584" t="s">
        <v>111</v>
      </c>
      <c r="I16" s="584"/>
      <c r="J16" s="584"/>
      <c r="K16" s="118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</row>
    <row r="17" spans="2:34" x14ac:dyDescent="0.3">
      <c r="B17" s="212" t="s">
        <v>3</v>
      </c>
      <c r="C17" s="119" t="s">
        <v>48</v>
      </c>
      <c r="D17" s="107"/>
      <c r="E17" s="107"/>
      <c r="F17" s="107"/>
      <c r="G17" s="107"/>
      <c r="H17" s="107"/>
      <c r="I17" s="120"/>
      <c r="J17" s="120"/>
      <c r="K17" s="120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</row>
    <row r="18" spans="2:34" x14ac:dyDescent="0.3">
      <c r="C18" s="121" t="s">
        <v>79</v>
      </c>
      <c r="D18" s="585" t="s">
        <v>84</v>
      </c>
      <c r="E18" s="586"/>
      <c r="F18" s="586"/>
      <c r="G18" s="587"/>
      <c r="H18" s="589" t="s">
        <v>18</v>
      </c>
      <c r="I18" s="590"/>
      <c r="J18" s="591"/>
      <c r="K18" s="120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</row>
    <row r="19" spans="2:34" x14ac:dyDescent="0.3">
      <c r="C19" s="122"/>
      <c r="D19" s="588"/>
      <c r="E19" s="586"/>
      <c r="F19" s="586"/>
      <c r="G19" s="587"/>
      <c r="H19" s="592"/>
      <c r="I19" s="593"/>
      <c r="J19" s="594"/>
      <c r="K19" s="120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</row>
    <row r="20" spans="2:34" x14ac:dyDescent="0.3">
      <c r="C20" s="123"/>
      <c r="D20" s="124" t="s">
        <v>80</v>
      </c>
      <c r="E20" s="124" t="s">
        <v>81</v>
      </c>
      <c r="F20" s="124" t="s">
        <v>82</v>
      </c>
      <c r="G20" s="124" t="s">
        <v>83</v>
      </c>
      <c r="H20" s="595"/>
      <c r="I20" s="596"/>
      <c r="J20" s="597"/>
      <c r="K20" s="120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</row>
    <row r="21" spans="2:34" x14ac:dyDescent="0.3">
      <c r="C21" s="125"/>
      <c r="D21" s="126" t="s">
        <v>73</v>
      </c>
      <c r="E21" s="127"/>
      <c r="F21" s="127"/>
      <c r="G21" s="127"/>
      <c r="H21" s="581"/>
      <c r="I21" s="582"/>
      <c r="J21" s="583"/>
      <c r="K21" s="120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</row>
    <row r="22" spans="2:34" x14ac:dyDescent="0.3">
      <c r="C22" s="125"/>
      <c r="D22" s="127"/>
      <c r="E22" s="127"/>
      <c r="F22" s="127"/>
      <c r="G22" s="127"/>
      <c r="H22" s="127"/>
      <c r="I22" s="582"/>
      <c r="J22" s="583"/>
      <c r="K22" s="120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</row>
    <row r="23" spans="2:34" x14ac:dyDescent="0.3">
      <c r="C23" s="128"/>
      <c r="D23" s="129"/>
      <c r="E23" s="130"/>
      <c r="F23" s="130"/>
      <c r="G23" s="130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</row>
    <row r="24" spans="2:34" ht="16.2" thickBot="1" x14ac:dyDescent="0.35">
      <c r="C24" s="131"/>
      <c r="D24" s="130"/>
      <c r="E24" s="130"/>
      <c r="F24" s="130"/>
      <c r="G24" s="130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</row>
    <row r="25" spans="2:34" ht="28.8" x14ac:dyDescent="0.3">
      <c r="B25" s="212" t="s">
        <v>6</v>
      </c>
      <c r="C25" s="210" t="s">
        <v>20</v>
      </c>
      <c r="D25" s="542" t="s">
        <v>47</v>
      </c>
      <c r="E25" s="543"/>
      <c r="F25" s="543"/>
      <c r="G25" s="543"/>
      <c r="H25" s="543"/>
      <c r="I25" s="543"/>
      <c r="J25" s="543"/>
      <c r="K25" s="543"/>
      <c r="L25" s="543"/>
      <c r="M25" s="543"/>
      <c r="N25" s="544"/>
      <c r="O25" s="540" t="s">
        <v>37</v>
      </c>
      <c r="P25" s="541"/>
      <c r="Q25" s="540" t="s">
        <v>37</v>
      </c>
      <c r="R25" s="548"/>
      <c r="S25" s="540" t="s">
        <v>258</v>
      </c>
      <c r="T25" s="548"/>
      <c r="U25" s="542" t="s">
        <v>41</v>
      </c>
      <c r="V25" s="544"/>
      <c r="W25" s="542" t="s">
        <v>259</v>
      </c>
      <c r="X25" s="544"/>
      <c r="Y25" s="542" t="s">
        <v>95</v>
      </c>
      <c r="Z25" s="544"/>
      <c r="AA25" s="542" t="s">
        <v>106</v>
      </c>
      <c r="AB25" s="543"/>
      <c r="AC25" s="555"/>
      <c r="AD25" s="542" t="s">
        <v>94</v>
      </c>
      <c r="AE25" s="543"/>
      <c r="AF25" s="543"/>
      <c r="AG25" s="540" t="s">
        <v>105</v>
      </c>
      <c r="AH25" s="554"/>
    </row>
    <row r="26" spans="2:34" s="132" customFormat="1" ht="55.8" thickBot="1" x14ac:dyDescent="0.3">
      <c r="C26" s="372" t="s">
        <v>1</v>
      </c>
      <c r="D26" s="373" t="s">
        <v>21</v>
      </c>
      <c r="E26" s="374" t="s">
        <v>22</v>
      </c>
      <c r="F26" s="374" t="s">
        <v>23</v>
      </c>
      <c r="G26" s="371" t="s">
        <v>74</v>
      </c>
      <c r="H26" s="371" t="s">
        <v>78</v>
      </c>
      <c r="I26" s="371" t="s">
        <v>49</v>
      </c>
      <c r="J26" s="371" t="s">
        <v>24</v>
      </c>
      <c r="K26" s="371" t="s">
        <v>27</v>
      </c>
      <c r="L26" s="371" t="s">
        <v>25</v>
      </c>
      <c r="M26" s="371" t="s">
        <v>26</v>
      </c>
      <c r="N26" s="373" t="s">
        <v>50</v>
      </c>
      <c r="O26" s="374" t="s">
        <v>108</v>
      </c>
      <c r="P26" s="374" t="s">
        <v>109</v>
      </c>
      <c r="Q26" s="373" t="s">
        <v>110</v>
      </c>
      <c r="R26" s="374" t="s">
        <v>44</v>
      </c>
      <c r="S26" s="373" t="s">
        <v>93</v>
      </c>
      <c r="T26" s="371" t="s">
        <v>38</v>
      </c>
      <c r="U26" s="373" t="s">
        <v>39</v>
      </c>
      <c r="V26" s="373" t="s">
        <v>40</v>
      </c>
      <c r="W26" s="373" t="s">
        <v>43</v>
      </c>
      <c r="X26" s="371" t="s">
        <v>133</v>
      </c>
      <c r="Y26" s="371" t="s">
        <v>97</v>
      </c>
      <c r="Z26" s="371" t="s">
        <v>96</v>
      </c>
      <c r="AA26" s="371" t="s">
        <v>104</v>
      </c>
      <c r="AB26" s="371" t="s">
        <v>44</v>
      </c>
      <c r="AC26" s="374" t="s">
        <v>116</v>
      </c>
      <c r="AD26" s="374" t="s">
        <v>77</v>
      </c>
      <c r="AE26" s="374" t="s">
        <v>100</v>
      </c>
      <c r="AF26" s="373" t="s">
        <v>91</v>
      </c>
      <c r="AG26" s="373" t="s">
        <v>45</v>
      </c>
      <c r="AH26" s="375" t="s">
        <v>46</v>
      </c>
    </row>
    <row r="27" spans="2:34" s="133" customFormat="1" ht="24" customHeight="1" x14ac:dyDescent="0.3">
      <c r="B27" s="213"/>
      <c r="C27" s="550" t="s">
        <v>322</v>
      </c>
      <c r="D27" s="511" t="s">
        <v>2</v>
      </c>
      <c r="E27" s="408"/>
      <c r="F27" s="135"/>
      <c r="G27" s="409"/>
      <c r="H27" s="627">
        <v>5387496</v>
      </c>
      <c r="I27" s="578"/>
      <c r="J27" s="514" t="s">
        <v>131</v>
      </c>
      <c r="K27" s="514" t="s">
        <v>113</v>
      </c>
      <c r="L27" s="514" t="s">
        <v>113</v>
      </c>
      <c r="M27" s="560" t="s">
        <v>114</v>
      </c>
      <c r="N27" s="400" t="s">
        <v>0</v>
      </c>
      <c r="O27" s="545" t="s">
        <v>113</v>
      </c>
      <c r="P27" s="508" t="s">
        <v>113</v>
      </c>
      <c r="Q27" s="508" t="s">
        <v>113</v>
      </c>
      <c r="R27" s="508" t="s">
        <v>113</v>
      </c>
      <c r="S27" s="137">
        <v>43185</v>
      </c>
      <c r="T27" s="137">
        <f>+S27+15</f>
        <v>43200</v>
      </c>
      <c r="U27" s="137">
        <f>+T27+5+1</f>
        <v>43206</v>
      </c>
      <c r="V27" s="137">
        <f>+U27+60</f>
        <v>43266</v>
      </c>
      <c r="W27" s="137">
        <v>43287</v>
      </c>
      <c r="X27" s="137">
        <f>+W27+15</f>
        <v>43302</v>
      </c>
      <c r="Y27" s="137">
        <f>+ X27+1</f>
        <v>43303</v>
      </c>
      <c r="Z27" s="137">
        <f>+ Y27+10</f>
        <v>43313</v>
      </c>
      <c r="AA27" s="137">
        <f>+Z27+1</f>
        <v>43314</v>
      </c>
      <c r="AB27" s="137">
        <f>AA27+15</f>
        <v>43329</v>
      </c>
      <c r="AC27" s="498">
        <v>1017446035</v>
      </c>
      <c r="AD27" s="498">
        <f>AC27</f>
        <v>1017446035</v>
      </c>
      <c r="AE27" s="137">
        <f>+ AB27+21</f>
        <v>43350</v>
      </c>
      <c r="AF27" s="137">
        <f>+ AE27+1</f>
        <v>43351</v>
      </c>
      <c r="AG27" s="137">
        <f>+ AF27+21</f>
        <v>43372</v>
      </c>
      <c r="AH27" s="138">
        <f>+AG27+150</f>
        <v>43522</v>
      </c>
    </row>
    <row r="28" spans="2:34" s="133" customFormat="1" ht="24" customHeight="1" x14ac:dyDescent="0.3">
      <c r="B28" s="213"/>
      <c r="C28" s="551"/>
      <c r="D28" s="512"/>
      <c r="E28" s="179"/>
      <c r="F28" s="140"/>
      <c r="G28" s="398"/>
      <c r="H28" s="628"/>
      <c r="I28" s="579"/>
      <c r="J28" s="515"/>
      <c r="K28" s="515"/>
      <c r="L28" s="515"/>
      <c r="M28" s="558"/>
      <c r="N28" s="401" t="s">
        <v>34</v>
      </c>
      <c r="O28" s="546"/>
      <c r="P28" s="509"/>
      <c r="Q28" s="509"/>
      <c r="R28" s="509"/>
      <c r="S28" s="142"/>
      <c r="T28" s="142"/>
      <c r="U28" s="142"/>
      <c r="V28" s="142"/>
      <c r="W28" s="142"/>
      <c r="X28" s="142">
        <v>45155</v>
      </c>
      <c r="Y28" s="142">
        <f>+X28+1</f>
        <v>45156</v>
      </c>
      <c r="Z28" s="142">
        <f>+Y28+10+2</f>
        <v>45168</v>
      </c>
      <c r="AA28" s="142">
        <f>+Z28+1</f>
        <v>45169</v>
      </c>
      <c r="AB28" s="142">
        <f>+AA28+30+2</f>
        <v>45201</v>
      </c>
      <c r="AC28" s="499"/>
      <c r="AD28" s="499"/>
      <c r="AE28" s="142">
        <f>AB28+5+2</f>
        <v>45208</v>
      </c>
      <c r="AF28" s="142">
        <f>Biens!AE28+21</f>
        <v>45229</v>
      </c>
      <c r="AG28" s="142">
        <f>AF28+21</f>
        <v>45250</v>
      </c>
      <c r="AH28" s="143">
        <f>AG28+150</f>
        <v>45400</v>
      </c>
    </row>
    <row r="29" spans="2:34" s="133" customFormat="1" ht="24" customHeight="1" thickBot="1" x14ac:dyDescent="0.35">
      <c r="B29" s="213"/>
      <c r="C29" s="551"/>
      <c r="D29" s="513"/>
      <c r="E29" s="181"/>
      <c r="F29" s="145"/>
      <c r="G29" s="410"/>
      <c r="H29" s="628"/>
      <c r="I29" s="580"/>
      <c r="J29" s="516"/>
      <c r="K29" s="516"/>
      <c r="L29" s="516"/>
      <c r="M29" s="561"/>
      <c r="N29" s="402" t="s">
        <v>36</v>
      </c>
      <c r="O29" s="547"/>
      <c r="P29" s="510"/>
      <c r="Q29" s="510"/>
      <c r="R29" s="510"/>
      <c r="S29" s="147">
        <v>44908</v>
      </c>
      <c r="T29" s="147">
        <v>44907</v>
      </c>
      <c r="U29" s="147">
        <v>44929</v>
      </c>
      <c r="V29" s="147">
        <v>45029</v>
      </c>
      <c r="W29" s="147">
        <v>45099</v>
      </c>
      <c r="X29" s="147">
        <v>45155</v>
      </c>
      <c r="Y29" s="147">
        <v>45159</v>
      </c>
      <c r="Z29" s="147">
        <v>45176</v>
      </c>
      <c r="AA29" s="147">
        <v>45225</v>
      </c>
      <c r="AB29" s="147">
        <v>45267</v>
      </c>
      <c r="AC29" s="500"/>
      <c r="AD29" s="500"/>
      <c r="AE29" s="147">
        <v>45278</v>
      </c>
      <c r="AF29" s="147">
        <v>45279</v>
      </c>
      <c r="AG29" s="147"/>
      <c r="AH29" s="323"/>
    </row>
    <row r="30" spans="2:34" s="133" customFormat="1" ht="24" customHeight="1" x14ac:dyDescent="0.3">
      <c r="B30" s="213"/>
      <c r="C30" s="624" t="s">
        <v>323</v>
      </c>
      <c r="D30" s="512" t="s">
        <v>2</v>
      </c>
      <c r="E30" s="368"/>
      <c r="F30" s="369"/>
      <c r="G30" s="370"/>
      <c r="H30" s="628"/>
      <c r="I30" s="622"/>
      <c r="J30" s="562" t="s">
        <v>131</v>
      </c>
      <c r="K30" s="562" t="s">
        <v>113</v>
      </c>
      <c r="L30" s="562" t="s">
        <v>113</v>
      </c>
      <c r="M30" s="557" t="s">
        <v>114</v>
      </c>
      <c r="N30" s="406" t="s">
        <v>0</v>
      </c>
      <c r="O30" s="613" t="s">
        <v>113</v>
      </c>
      <c r="P30" s="608" t="s">
        <v>113</v>
      </c>
      <c r="Q30" s="608" t="s">
        <v>113</v>
      </c>
      <c r="R30" s="608" t="s">
        <v>113</v>
      </c>
      <c r="S30" s="404">
        <v>43185</v>
      </c>
      <c r="T30" s="404">
        <f>+S30+15</f>
        <v>43200</v>
      </c>
      <c r="U30" s="404">
        <f>+T30+5+1</f>
        <v>43206</v>
      </c>
      <c r="V30" s="404">
        <f>+U30+60</f>
        <v>43266</v>
      </c>
      <c r="W30" s="404">
        <v>43287</v>
      </c>
      <c r="X30" s="404">
        <f>+W30+15</f>
        <v>43302</v>
      </c>
      <c r="Y30" s="404">
        <f>+ X30+1</f>
        <v>43303</v>
      </c>
      <c r="Z30" s="404">
        <f>+ Y30+10</f>
        <v>43313</v>
      </c>
      <c r="AA30" s="404">
        <f>+Z30+1</f>
        <v>43314</v>
      </c>
      <c r="AB30" s="404">
        <f>AA30+15</f>
        <v>43329</v>
      </c>
      <c r="AC30" s="612">
        <v>796997800</v>
      </c>
      <c r="AD30" s="612">
        <f>AC30</f>
        <v>796997800</v>
      </c>
      <c r="AE30" s="404">
        <f>+ AB30+21</f>
        <v>43350</v>
      </c>
      <c r="AF30" s="404">
        <f>+ AE30+1</f>
        <v>43351</v>
      </c>
      <c r="AG30" s="404">
        <f>+ AF30+21</f>
        <v>43372</v>
      </c>
      <c r="AH30" s="405">
        <f>+AG30+150</f>
        <v>43522</v>
      </c>
    </row>
    <row r="31" spans="2:34" s="133" customFormat="1" ht="24" customHeight="1" x14ac:dyDescent="0.3">
      <c r="B31" s="213"/>
      <c r="C31" s="551"/>
      <c r="D31" s="512"/>
      <c r="E31" s="139"/>
      <c r="F31" s="140"/>
      <c r="G31" s="141"/>
      <c r="H31" s="628"/>
      <c r="I31" s="622"/>
      <c r="J31" s="515"/>
      <c r="K31" s="515"/>
      <c r="L31" s="515"/>
      <c r="M31" s="558"/>
      <c r="N31" s="401" t="s">
        <v>34</v>
      </c>
      <c r="O31" s="613"/>
      <c r="P31" s="608"/>
      <c r="Q31" s="608"/>
      <c r="R31" s="608"/>
      <c r="S31" s="142"/>
      <c r="T31" s="142"/>
      <c r="U31" s="142"/>
      <c r="V31" s="142"/>
      <c r="W31" s="142"/>
      <c r="X31" s="142">
        <v>45155</v>
      </c>
      <c r="Y31" s="142">
        <f>+X31+1</f>
        <v>45156</v>
      </c>
      <c r="Z31" s="142">
        <f>+Y31+10+2</f>
        <v>45168</v>
      </c>
      <c r="AA31" s="142">
        <f>+Z31+1</f>
        <v>45169</v>
      </c>
      <c r="AB31" s="142">
        <f>+AA31+30+2</f>
        <v>45201</v>
      </c>
      <c r="AC31" s="499"/>
      <c r="AD31" s="499"/>
      <c r="AE31" s="142">
        <f>AB31+5+2</f>
        <v>45208</v>
      </c>
      <c r="AF31" s="142">
        <f>Biens!AE31+21</f>
        <v>45229</v>
      </c>
      <c r="AG31" s="142">
        <f>AF31+21</f>
        <v>45250</v>
      </c>
      <c r="AH31" s="143">
        <f>AG31+150</f>
        <v>45400</v>
      </c>
    </row>
    <row r="32" spans="2:34" s="133" customFormat="1" ht="24" customHeight="1" thickBot="1" x14ac:dyDescent="0.35">
      <c r="B32" s="213"/>
      <c r="C32" s="625"/>
      <c r="D32" s="512"/>
      <c r="E32" s="363"/>
      <c r="F32" s="364"/>
      <c r="G32" s="365"/>
      <c r="H32" s="628"/>
      <c r="I32" s="622"/>
      <c r="J32" s="556"/>
      <c r="K32" s="556"/>
      <c r="L32" s="556"/>
      <c r="M32" s="559"/>
      <c r="N32" s="407" t="s">
        <v>36</v>
      </c>
      <c r="O32" s="613"/>
      <c r="P32" s="608"/>
      <c r="Q32" s="608"/>
      <c r="R32" s="608"/>
      <c r="S32" s="366">
        <v>44908</v>
      </c>
      <c r="T32" s="366">
        <v>44907</v>
      </c>
      <c r="U32" s="366">
        <v>44929</v>
      </c>
      <c r="V32" s="366">
        <v>45029</v>
      </c>
      <c r="W32" s="366">
        <v>45099</v>
      </c>
      <c r="X32" s="366">
        <v>45155</v>
      </c>
      <c r="Y32" s="366">
        <v>45159</v>
      </c>
      <c r="Z32" s="366">
        <v>45176</v>
      </c>
      <c r="AA32" s="366">
        <v>45225</v>
      </c>
      <c r="AB32" s="366">
        <v>45267</v>
      </c>
      <c r="AC32" s="501"/>
      <c r="AD32" s="501"/>
      <c r="AE32" s="366">
        <v>45278</v>
      </c>
      <c r="AF32" s="366">
        <v>45279</v>
      </c>
      <c r="AG32" s="366"/>
      <c r="AH32" s="367"/>
    </row>
    <row r="33" spans="2:34" s="133" customFormat="1" ht="24" customHeight="1" x14ac:dyDescent="0.3">
      <c r="B33" s="213"/>
      <c r="C33" s="624" t="s">
        <v>324</v>
      </c>
      <c r="D33" s="512" t="s">
        <v>2</v>
      </c>
      <c r="E33" s="408"/>
      <c r="F33" s="135"/>
      <c r="G33" s="409"/>
      <c r="H33" s="628"/>
      <c r="I33" s="578"/>
      <c r="J33" s="514" t="s">
        <v>131</v>
      </c>
      <c r="K33" s="514" t="s">
        <v>113</v>
      </c>
      <c r="L33" s="514" t="s">
        <v>113</v>
      </c>
      <c r="M33" s="560" t="s">
        <v>114</v>
      </c>
      <c r="N33" s="387" t="s">
        <v>0</v>
      </c>
      <c r="O33" s="545" t="s">
        <v>113</v>
      </c>
      <c r="P33" s="508" t="s">
        <v>113</v>
      </c>
      <c r="Q33" s="508" t="s">
        <v>113</v>
      </c>
      <c r="R33" s="508" t="s">
        <v>113</v>
      </c>
      <c r="S33" s="137">
        <v>43185</v>
      </c>
      <c r="T33" s="137">
        <f>+S33+15</f>
        <v>43200</v>
      </c>
      <c r="U33" s="137">
        <f>+T33+5+1</f>
        <v>43206</v>
      </c>
      <c r="V33" s="137">
        <f>+U33+60</f>
        <v>43266</v>
      </c>
      <c r="W33" s="137">
        <v>43287</v>
      </c>
      <c r="X33" s="137">
        <f>+W33+15</f>
        <v>43302</v>
      </c>
      <c r="Y33" s="137">
        <f>+ X33+1</f>
        <v>43303</v>
      </c>
      <c r="Z33" s="137">
        <f>+ Y33+10</f>
        <v>43313</v>
      </c>
      <c r="AA33" s="137">
        <f>+Z33+1</f>
        <v>43314</v>
      </c>
      <c r="AB33" s="137">
        <f>AA33+15</f>
        <v>43329</v>
      </c>
      <c r="AC33" s="498">
        <v>633828625</v>
      </c>
      <c r="AD33" s="498">
        <f>AC33</f>
        <v>633828625</v>
      </c>
      <c r="AE33" s="137">
        <f>+ AB33+21</f>
        <v>43350</v>
      </c>
      <c r="AF33" s="137">
        <f>+ AE33+1</f>
        <v>43351</v>
      </c>
      <c r="AG33" s="137">
        <f>+ AF33+21</f>
        <v>43372</v>
      </c>
      <c r="AH33" s="138">
        <f>+AG33+150</f>
        <v>43522</v>
      </c>
    </row>
    <row r="34" spans="2:34" s="133" customFormat="1" ht="24" customHeight="1" x14ac:dyDescent="0.3">
      <c r="B34" s="213"/>
      <c r="C34" s="551"/>
      <c r="D34" s="512"/>
      <c r="E34" s="179"/>
      <c r="F34" s="140"/>
      <c r="G34" s="398"/>
      <c r="H34" s="628"/>
      <c r="I34" s="579"/>
      <c r="J34" s="515"/>
      <c r="K34" s="515"/>
      <c r="L34" s="515"/>
      <c r="M34" s="558"/>
      <c r="N34" s="388" t="s">
        <v>34</v>
      </c>
      <c r="O34" s="546"/>
      <c r="P34" s="509"/>
      <c r="Q34" s="509"/>
      <c r="R34" s="509"/>
      <c r="S34" s="142"/>
      <c r="T34" s="142"/>
      <c r="U34" s="142"/>
      <c r="V34" s="142"/>
      <c r="W34" s="142"/>
      <c r="X34" s="142">
        <v>45155</v>
      </c>
      <c r="Y34" s="142">
        <f>+X34+1</f>
        <v>45156</v>
      </c>
      <c r="Z34" s="142">
        <f>+Y34+10+2</f>
        <v>45168</v>
      </c>
      <c r="AA34" s="142">
        <f>+Z34+1</f>
        <v>45169</v>
      </c>
      <c r="AB34" s="142">
        <f>+AA34+30+2</f>
        <v>45201</v>
      </c>
      <c r="AC34" s="499"/>
      <c r="AD34" s="499"/>
      <c r="AE34" s="142">
        <f>AB34+5+2</f>
        <v>45208</v>
      </c>
      <c r="AF34" s="142">
        <f>Biens!AE34+21</f>
        <v>45229</v>
      </c>
      <c r="AG34" s="142">
        <f>AF34+21</f>
        <v>45250</v>
      </c>
      <c r="AH34" s="143">
        <f>AG34+150</f>
        <v>45400</v>
      </c>
    </row>
    <row r="35" spans="2:34" s="133" customFormat="1" ht="24" customHeight="1" thickBot="1" x14ac:dyDescent="0.35">
      <c r="B35" s="213"/>
      <c r="C35" s="625"/>
      <c r="D35" s="512"/>
      <c r="E35" s="181"/>
      <c r="F35" s="145"/>
      <c r="G35" s="410"/>
      <c r="H35" s="628"/>
      <c r="I35" s="580"/>
      <c r="J35" s="516"/>
      <c r="K35" s="516"/>
      <c r="L35" s="516"/>
      <c r="M35" s="561"/>
      <c r="N35" s="390" t="s">
        <v>36</v>
      </c>
      <c r="O35" s="547"/>
      <c r="P35" s="510"/>
      <c r="Q35" s="510"/>
      <c r="R35" s="510"/>
      <c r="S35" s="147">
        <v>44908</v>
      </c>
      <c r="T35" s="147">
        <v>44907</v>
      </c>
      <c r="U35" s="147">
        <v>44929</v>
      </c>
      <c r="V35" s="147">
        <v>45029</v>
      </c>
      <c r="W35" s="147">
        <v>45099</v>
      </c>
      <c r="X35" s="147">
        <v>45159</v>
      </c>
      <c r="Y35" s="147">
        <v>45162</v>
      </c>
      <c r="Z35" s="147">
        <v>45177</v>
      </c>
      <c r="AA35" s="147">
        <v>45225</v>
      </c>
      <c r="AB35" s="147">
        <v>45267</v>
      </c>
      <c r="AC35" s="500"/>
      <c r="AD35" s="500"/>
      <c r="AE35" s="147">
        <v>45275</v>
      </c>
      <c r="AF35" s="147">
        <v>45278</v>
      </c>
      <c r="AG35" s="147"/>
      <c r="AH35" s="323"/>
    </row>
    <row r="36" spans="2:34" s="133" customFormat="1" ht="24" customHeight="1" x14ac:dyDescent="0.3">
      <c r="B36" s="213"/>
      <c r="C36" s="551" t="s">
        <v>325</v>
      </c>
      <c r="D36" s="616" t="s">
        <v>2</v>
      </c>
      <c r="E36" s="368"/>
      <c r="F36" s="369"/>
      <c r="G36" s="370"/>
      <c r="H36" s="628"/>
      <c r="I36" s="622"/>
      <c r="J36" s="562" t="s">
        <v>131</v>
      </c>
      <c r="K36" s="562" t="s">
        <v>113</v>
      </c>
      <c r="L36" s="562" t="s">
        <v>113</v>
      </c>
      <c r="M36" s="557" t="s">
        <v>114</v>
      </c>
      <c r="N36" s="406" t="s">
        <v>0</v>
      </c>
      <c r="O36" s="613" t="s">
        <v>113</v>
      </c>
      <c r="P36" s="608" t="s">
        <v>113</v>
      </c>
      <c r="Q36" s="608" t="s">
        <v>113</v>
      </c>
      <c r="R36" s="608" t="s">
        <v>113</v>
      </c>
      <c r="S36" s="404">
        <v>43185</v>
      </c>
      <c r="T36" s="404">
        <f>+S36+15</f>
        <v>43200</v>
      </c>
      <c r="U36" s="404">
        <f>+T36+5+1</f>
        <v>43206</v>
      </c>
      <c r="V36" s="404">
        <f>+U36+60</f>
        <v>43266</v>
      </c>
      <c r="W36" s="404">
        <v>43287</v>
      </c>
      <c r="X36" s="404">
        <f>+W36+15</f>
        <v>43302</v>
      </c>
      <c r="Y36" s="404">
        <f>+ X36+1</f>
        <v>43303</v>
      </c>
      <c r="Z36" s="404">
        <f>+ Y36+10</f>
        <v>43313</v>
      </c>
      <c r="AA36" s="404">
        <f>+Z36+1</f>
        <v>43314</v>
      </c>
      <c r="AB36" s="404">
        <f>AA36+15</f>
        <v>43329</v>
      </c>
      <c r="AC36" s="612">
        <v>760088802</v>
      </c>
      <c r="AD36" s="612">
        <f>AC36</f>
        <v>760088802</v>
      </c>
      <c r="AE36" s="404">
        <f>+ AB36+21</f>
        <v>43350</v>
      </c>
      <c r="AF36" s="404">
        <f>+ AE36+1</f>
        <v>43351</v>
      </c>
      <c r="AG36" s="404">
        <f>+ AF36+21</f>
        <v>43372</v>
      </c>
      <c r="AH36" s="405">
        <f>+AG36+150</f>
        <v>43522</v>
      </c>
    </row>
    <row r="37" spans="2:34" s="133" customFormat="1" ht="24" customHeight="1" x14ac:dyDescent="0.3">
      <c r="B37" s="213"/>
      <c r="C37" s="551"/>
      <c r="D37" s="512"/>
      <c r="E37" s="139"/>
      <c r="F37" s="140"/>
      <c r="G37" s="141"/>
      <c r="H37" s="628"/>
      <c r="I37" s="622"/>
      <c r="J37" s="515"/>
      <c r="K37" s="515"/>
      <c r="L37" s="515"/>
      <c r="M37" s="558"/>
      <c r="N37" s="401" t="s">
        <v>34</v>
      </c>
      <c r="O37" s="613"/>
      <c r="P37" s="608"/>
      <c r="Q37" s="608"/>
      <c r="R37" s="608"/>
      <c r="S37" s="142"/>
      <c r="T37" s="142"/>
      <c r="U37" s="142"/>
      <c r="V37" s="142"/>
      <c r="W37" s="142"/>
      <c r="X37" s="142">
        <v>45155</v>
      </c>
      <c r="Y37" s="142">
        <f>+X37+1</f>
        <v>45156</v>
      </c>
      <c r="Z37" s="142">
        <f>+Y37+10+2</f>
        <v>45168</v>
      </c>
      <c r="AA37" s="142">
        <f>+Z37+1</f>
        <v>45169</v>
      </c>
      <c r="AB37" s="142">
        <f>+AA37+30+2</f>
        <v>45201</v>
      </c>
      <c r="AC37" s="499"/>
      <c r="AD37" s="499"/>
      <c r="AE37" s="142">
        <f>AB37+5+2</f>
        <v>45208</v>
      </c>
      <c r="AF37" s="142">
        <f>Biens!AE37+21</f>
        <v>45229</v>
      </c>
      <c r="AG37" s="142">
        <f>AF37+21</f>
        <v>45250</v>
      </c>
      <c r="AH37" s="143">
        <f>AG37+150</f>
        <v>45400</v>
      </c>
    </row>
    <row r="38" spans="2:34" s="133" customFormat="1" ht="24" customHeight="1" thickBot="1" x14ac:dyDescent="0.35">
      <c r="B38" s="213"/>
      <c r="C38" s="626"/>
      <c r="D38" s="617"/>
      <c r="E38" s="144"/>
      <c r="F38" s="145"/>
      <c r="G38" s="146"/>
      <c r="H38" s="629"/>
      <c r="I38" s="623"/>
      <c r="J38" s="516"/>
      <c r="K38" s="516"/>
      <c r="L38" s="516"/>
      <c r="M38" s="561"/>
      <c r="N38" s="402" t="s">
        <v>36</v>
      </c>
      <c r="O38" s="614"/>
      <c r="P38" s="615"/>
      <c r="Q38" s="615"/>
      <c r="R38" s="615"/>
      <c r="S38" s="376">
        <v>44908</v>
      </c>
      <c r="T38" s="376">
        <v>44907</v>
      </c>
      <c r="U38" s="376">
        <v>44929</v>
      </c>
      <c r="V38" s="376">
        <v>45029</v>
      </c>
      <c r="W38" s="376">
        <v>45089</v>
      </c>
      <c r="X38" s="376">
        <v>45159</v>
      </c>
      <c r="Y38" s="376">
        <v>45162</v>
      </c>
      <c r="Z38" s="376">
        <v>45177</v>
      </c>
      <c r="AA38" s="376">
        <v>45225</v>
      </c>
      <c r="AB38" s="376">
        <v>45288</v>
      </c>
      <c r="AC38" s="499"/>
      <c r="AD38" s="499"/>
      <c r="AE38" s="376">
        <v>45351</v>
      </c>
      <c r="AF38" s="376"/>
      <c r="AG38" s="376"/>
      <c r="AH38" s="403"/>
    </row>
    <row r="39" spans="2:34" ht="10.5" customHeight="1" thickBot="1" x14ac:dyDescent="0.4">
      <c r="C39" s="148"/>
      <c r="D39" s="149"/>
      <c r="E39" s="150"/>
      <c r="F39" s="151"/>
      <c r="G39" s="152"/>
      <c r="H39" s="377"/>
      <c r="I39" s="381"/>
      <c r="J39" s="382"/>
      <c r="K39" s="383"/>
      <c r="L39" s="382"/>
      <c r="M39" s="382"/>
      <c r="N39" s="391"/>
      <c r="O39" s="151"/>
      <c r="P39" s="151"/>
      <c r="Q39" s="151"/>
      <c r="R39" s="151"/>
      <c r="S39" s="152"/>
      <c r="T39" s="152"/>
      <c r="U39" s="151"/>
      <c r="V39" s="151"/>
      <c r="W39" s="151"/>
      <c r="X39" s="151"/>
      <c r="Y39" s="151"/>
      <c r="Z39" s="151"/>
      <c r="AA39" s="151"/>
      <c r="AB39" s="151"/>
      <c r="AC39" s="303"/>
      <c r="AD39" s="303"/>
      <c r="AE39" s="151"/>
      <c r="AF39" s="151"/>
      <c r="AG39" s="151"/>
      <c r="AH39" s="151"/>
    </row>
    <row r="40" spans="2:34" s="133" customFormat="1" ht="24" customHeight="1" x14ac:dyDescent="0.3">
      <c r="B40" s="213"/>
      <c r="C40" s="552" t="s">
        <v>326</v>
      </c>
      <c r="D40" s="511" t="s">
        <v>2</v>
      </c>
      <c r="E40" s="134"/>
      <c r="F40" s="135"/>
      <c r="G40" s="136"/>
      <c r="H40" s="630">
        <v>650000</v>
      </c>
      <c r="I40" s="505"/>
      <c r="J40" s="514" t="s">
        <v>112</v>
      </c>
      <c r="K40" s="514" t="s">
        <v>113</v>
      </c>
      <c r="L40" s="514" t="s">
        <v>113</v>
      </c>
      <c r="M40" s="514" t="s">
        <v>114</v>
      </c>
      <c r="N40" s="387" t="s">
        <v>0</v>
      </c>
      <c r="O40" s="607" t="s">
        <v>113</v>
      </c>
      <c r="P40" s="607" t="s">
        <v>113</v>
      </c>
      <c r="Q40" s="607" t="s">
        <v>113</v>
      </c>
      <c r="R40" s="607" t="s">
        <v>113</v>
      </c>
      <c r="S40" s="137">
        <v>42882</v>
      </c>
      <c r="T40" s="137">
        <f>+S40+15+4</f>
        <v>42901</v>
      </c>
      <c r="U40" s="137">
        <f xml:space="preserve"> T40+5</f>
        <v>42906</v>
      </c>
      <c r="V40" s="137">
        <f xml:space="preserve"> U40+30</f>
        <v>42936</v>
      </c>
      <c r="W40" s="137">
        <v>42953</v>
      </c>
      <c r="X40" s="137">
        <f>W40+15</f>
        <v>42968</v>
      </c>
      <c r="Y40" s="137">
        <f>X40+1</f>
        <v>42969</v>
      </c>
      <c r="Z40" s="137">
        <f>Y40+10</f>
        <v>42979</v>
      </c>
      <c r="AA40" s="137">
        <f>Z40+1</f>
        <v>42980</v>
      </c>
      <c r="AB40" s="137">
        <f>AA40+15</f>
        <v>42995</v>
      </c>
      <c r="AC40" s="498">
        <v>135860000</v>
      </c>
      <c r="AD40" s="498">
        <f>AC40</f>
        <v>135860000</v>
      </c>
      <c r="AE40" s="137">
        <f xml:space="preserve"> AB40+2</f>
        <v>42997</v>
      </c>
      <c r="AF40" s="137">
        <f>AE40+21</f>
        <v>43018</v>
      </c>
      <c r="AG40" s="137">
        <f>AF40+21</f>
        <v>43039</v>
      </c>
      <c r="AH40" s="138">
        <f>AG40+90</f>
        <v>43129</v>
      </c>
    </row>
    <row r="41" spans="2:34" s="133" customFormat="1" ht="24" customHeight="1" x14ac:dyDescent="0.3">
      <c r="B41" s="213"/>
      <c r="C41" s="553"/>
      <c r="D41" s="512"/>
      <c r="E41" s="139"/>
      <c r="F41" s="140"/>
      <c r="G41" s="141"/>
      <c r="H41" s="631"/>
      <c r="I41" s="506"/>
      <c r="J41" s="515"/>
      <c r="K41" s="515"/>
      <c r="L41" s="515"/>
      <c r="M41" s="515"/>
      <c r="N41" s="399" t="s">
        <v>34</v>
      </c>
      <c r="O41" s="608"/>
      <c r="P41" s="608"/>
      <c r="Q41" s="608"/>
      <c r="R41" s="608"/>
      <c r="S41" s="142"/>
      <c r="T41" s="142"/>
      <c r="U41" s="142"/>
      <c r="V41" s="142"/>
      <c r="W41" s="142">
        <v>45154</v>
      </c>
      <c r="X41" s="142">
        <f xml:space="preserve"> W41+30</f>
        <v>45184</v>
      </c>
      <c r="Y41" s="142">
        <f>X41+3</f>
        <v>45187</v>
      </c>
      <c r="Z41" s="142">
        <f>Y41+11</f>
        <v>45198</v>
      </c>
      <c r="AA41" s="142">
        <f xml:space="preserve"> Z41+3</f>
        <v>45201</v>
      </c>
      <c r="AB41" s="142">
        <f>AA41+30+2</f>
        <v>45233</v>
      </c>
      <c r="AC41" s="499"/>
      <c r="AD41" s="499"/>
      <c r="AE41" s="142">
        <f xml:space="preserve"> AB41+3</f>
        <v>45236</v>
      </c>
      <c r="AF41" s="142">
        <f xml:space="preserve"> AE41+21</f>
        <v>45257</v>
      </c>
      <c r="AG41" s="142">
        <f>AF41+21</f>
        <v>45278</v>
      </c>
      <c r="AH41" s="143">
        <f>AG41+90+2</f>
        <v>45370</v>
      </c>
    </row>
    <row r="42" spans="2:34" s="133" customFormat="1" ht="24" customHeight="1" thickBot="1" x14ac:dyDescent="0.35">
      <c r="B42" s="213"/>
      <c r="C42" s="553"/>
      <c r="D42" s="513"/>
      <c r="E42" s="363"/>
      <c r="F42" s="364"/>
      <c r="G42" s="365"/>
      <c r="H42" s="631"/>
      <c r="I42" s="507"/>
      <c r="J42" s="556"/>
      <c r="K42" s="556"/>
      <c r="L42" s="556"/>
      <c r="M42" s="556"/>
      <c r="N42" s="389" t="s">
        <v>36</v>
      </c>
      <c r="O42" s="608"/>
      <c r="P42" s="608"/>
      <c r="Q42" s="608"/>
      <c r="R42" s="608"/>
      <c r="S42" s="376">
        <v>44900</v>
      </c>
      <c r="T42" s="376" t="s">
        <v>251</v>
      </c>
      <c r="U42" s="376">
        <v>44999</v>
      </c>
      <c r="V42" s="376">
        <v>45078</v>
      </c>
      <c r="W42" s="376">
        <v>45120</v>
      </c>
      <c r="X42" s="376">
        <v>45138</v>
      </c>
      <c r="Y42" s="376">
        <v>45140</v>
      </c>
      <c r="Z42" s="376">
        <v>45159</v>
      </c>
      <c r="AA42" s="376">
        <v>45187</v>
      </c>
      <c r="AB42" s="376">
        <v>45211</v>
      </c>
      <c r="AC42" s="501"/>
      <c r="AD42" s="501"/>
      <c r="AE42" s="366">
        <v>45287</v>
      </c>
      <c r="AF42" s="366">
        <v>45288</v>
      </c>
      <c r="AG42" s="366"/>
      <c r="AH42" s="367"/>
    </row>
    <row r="43" spans="2:34" s="133" customFormat="1" ht="24" customHeight="1" x14ac:dyDescent="0.3">
      <c r="B43" s="213"/>
      <c r="C43" s="618" t="s">
        <v>327</v>
      </c>
      <c r="D43" s="512" t="s">
        <v>2</v>
      </c>
      <c r="E43" s="408"/>
      <c r="F43" s="135"/>
      <c r="G43" s="409"/>
      <c r="H43" s="631"/>
      <c r="I43" s="505"/>
      <c r="J43" s="514" t="s">
        <v>112</v>
      </c>
      <c r="K43" s="514" t="s">
        <v>113</v>
      </c>
      <c r="L43" s="514" t="s">
        <v>113</v>
      </c>
      <c r="M43" s="514" t="s">
        <v>114</v>
      </c>
      <c r="N43" s="400" t="s">
        <v>0</v>
      </c>
      <c r="O43" s="508" t="s">
        <v>113</v>
      </c>
      <c r="P43" s="508" t="s">
        <v>113</v>
      </c>
      <c r="Q43" s="508" t="s">
        <v>113</v>
      </c>
      <c r="R43" s="508" t="s">
        <v>113</v>
      </c>
      <c r="S43" s="137">
        <v>42882</v>
      </c>
      <c r="T43" s="137">
        <f>+S43+15+4</f>
        <v>42901</v>
      </c>
      <c r="U43" s="137">
        <f xml:space="preserve"> T43+5</f>
        <v>42906</v>
      </c>
      <c r="V43" s="137">
        <f xml:space="preserve"> U43+30</f>
        <v>42936</v>
      </c>
      <c r="W43" s="137">
        <v>42953</v>
      </c>
      <c r="X43" s="137">
        <f>W43+15</f>
        <v>42968</v>
      </c>
      <c r="Y43" s="137">
        <f>X43+1</f>
        <v>42969</v>
      </c>
      <c r="Z43" s="137">
        <f>Y43+10</f>
        <v>42979</v>
      </c>
      <c r="AA43" s="137">
        <f>Z43+1</f>
        <v>42980</v>
      </c>
      <c r="AB43" s="137">
        <f>AA43+15</f>
        <v>42995</v>
      </c>
      <c r="AC43" s="635">
        <v>270529228</v>
      </c>
      <c r="AD43" s="635">
        <f>AC43</f>
        <v>270529228</v>
      </c>
      <c r="AE43" s="137">
        <f xml:space="preserve"> AB43+2</f>
        <v>42997</v>
      </c>
      <c r="AF43" s="137">
        <f>AE43+21</f>
        <v>43018</v>
      </c>
      <c r="AG43" s="137">
        <f>AF43+21</f>
        <v>43039</v>
      </c>
      <c r="AH43" s="138">
        <f>AG43+90</f>
        <v>43129</v>
      </c>
    </row>
    <row r="44" spans="2:34" s="133" customFormat="1" ht="24" customHeight="1" x14ac:dyDescent="0.3">
      <c r="B44" s="213"/>
      <c r="C44" s="553"/>
      <c r="D44" s="512"/>
      <c r="E44" s="179"/>
      <c r="F44" s="140"/>
      <c r="G44" s="398"/>
      <c r="H44" s="631"/>
      <c r="I44" s="506"/>
      <c r="J44" s="515"/>
      <c r="K44" s="515"/>
      <c r="L44" s="515"/>
      <c r="M44" s="515"/>
      <c r="N44" s="401" t="s">
        <v>34</v>
      </c>
      <c r="O44" s="509"/>
      <c r="P44" s="509"/>
      <c r="Q44" s="509"/>
      <c r="R44" s="509"/>
      <c r="S44" s="142"/>
      <c r="T44" s="142"/>
      <c r="U44" s="142"/>
      <c r="V44" s="142"/>
      <c r="W44" s="142">
        <v>45154</v>
      </c>
      <c r="X44" s="142">
        <f xml:space="preserve"> W44+30</f>
        <v>45184</v>
      </c>
      <c r="Y44" s="142">
        <f>X44+3</f>
        <v>45187</v>
      </c>
      <c r="Z44" s="142">
        <f>Y44+11</f>
        <v>45198</v>
      </c>
      <c r="AA44" s="142">
        <f xml:space="preserve"> Z44+3</f>
        <v>45201</v>
      </c>
      <c r="AB44" s="142">
        <f>AA44+30+2</f>
        <v>45233</v>
      </c>
      <c r="AC44" s="636"/>
      <c r="AD44" s="636"/>
      <c r="AE44" s="142">
        <f xml:space="preserve"> AB44+3</f>
        <v>45236</v>
      </c>
      <c r="AF44" s="142">
        <f xml:space="preserve"> AE44+21</f>
        <v>45257</v>
      </c>
      <c r="AG44" s="142">
        <f>AF44+21</f>
        <v>45278</v>
      </c>
      <c r="AH44" s="143">
        <f>AG44+90+2</f>
        <v>45370</v>
      </c>
    </row>
    <row r="45" spans="2:34" s="133" customFormat="1" ht="24" customHeight="1" thickBot="1" x14ac:dyDescent="0.35">
      <c r="B45" s="213"/>
      <c r="C45" s="619"/>
      <c r="D45" s="512"/>
      <c r="E45" s="181"/>
      <c r="F45" s="145"/>
      <c r="G45" s="410"/>
      <c r="H45" s="631"/>
      <c r="I45" s="633"/>
      <c r="J45" s="516"/>
      <c r="K45" s="516"/>
      <c r="L45" s="516"/>
      <c r="M45" s="516"/>
      <c r="N45" s="402" t="s">
        <v>36</v>
      </c>
      <c r="O45" s="510"/>
      <c r="P45" s="510"/>
      <c r="Q45" s="510"/>
      <c r="R45" s="510"/>
      <c r="S45" s="376">
        <v>44900</v>
      </c>
      <c r="T45" s="376" t="s">
        <v>251</v>
      </c>
      <c r="U45" s="376">
        <v>44999</v>
      </c>
      <c r="V45" s="376">
        <v>45078</v>
      </c>
      <c r="W45" s="376">
        <v>45160</v>
      </c>
      <c r="X45" s="376">
        <v>45182</v>
      </c>
      <c r="Y45" s="376">
        <v>45184</v>
      </c>
      <c r="Z45" s="376">
        <v>45202</v>
      </c>
      <c r="AA45" s="376">
        <v>45246</v>
      </c>
      <c r="AB45" s="376">
        <v>45256</v>
      </c>
      <c r="AC45" s="637"/>
      <c r="AD45" s="637"/>
      <c r="AE45" s="147">
        <v>45267</v>
      </c>
      <c r="AF45" s="147">
        <v>45271</v>
      </c>
      <c r="AG45" s="147"/>
      <c r="AH45" s="323"/>
    </row>
    <row r="46" spans="2:34" s="133" customFormat="1" ht="24" customHeight="1" x14ac:dyDescent="0.3">
      <c r="B46" s="213"/>
      <c r="C46" s="620" t="s">
        <v>328</v>
      </c>
      <c r="D46" s="512" t="s">
        <v>2</v>
      </c>
      <c r="E46" s="408"/>
      <c r="F46" s="135"/>
      <c r="G46" s="409"/>
      <c r="H46" s="631"/>
      <c r="I46" s="505"/>
      <c r="J46" s="514" t="s">
        <v>112</v>
      </c>
      <c r="K46" s="514" t="s">
        <v>113</v>
      </c>
      <c r="L46" s="514" t="s">
        <v>113</v>
      </c>
      <c r="M46" s="514" t="s">
        <v>114</v>
      </c>
      <c r="N46" s="400" t="s">
        <v>0</v>
      </c>
      <c r="O46" s="508" t="s">
        <v>113</v>
      </c>
      <c r="P46" s="508" t="s">
        <v>113</v>
      </c>
      <c r="Q46" s="508" t="s">
        <v>113</v>
      </c>
      <c r="R46" s="508" t="s">
        <v>113</v>
      </c>
      <c r="S46" s="137">
        <v>42882</v>
      </c>
      <c r="T46" s="137">
        <f>+S46+15+4</f>
        <v>42901</v>
      </c>
      <c r="U46" s="137">
        <f xml:space="preserve"> T46+5</f>
        <v>42906</v>
      </c>
      <c r="V46" s="137">
        <f xml:space="preserve"> U46+30</f>
        <v>42936</v>
      </c>
      <c r="W46" s="137">
        <v>42953</v>
      </c>
      <c r="X46" s="137">
        <f>W46+15</f>
        <v>42968</v>
      </c>
      <c r="Y46" s="137">
        <f>X46+1</f>
        <v>42969</v>
      </c>
      <c r="Z46" s="137">
        <f>Y46+10</f>
        <v>42979</v>
      </c>
      <c r="AA46" s="137">
        <f>Z46+1</f>
        <v>42980</v>
      </c>
      <c r="AB46" s="137">
        <f>AA46+15</f>
        <v>42995</v>
      </c>
      <c r="AC46" s="635">
        <v>210305000</v>
      </c>
      <c r="AD46" s="635">
        <f>AC46</f>
        <v>210305000</v>
      </c>
      <c r="AE46" s="137">
        <f xml:space="preserve"> AB46+2</f>
        <v>42997</v>
      </c>
      <c r="AF46" s="137">
        <f>AE46+21</f>
        <v>43018</v>
      </c>
      <c r="AG46" s="137">
        <f>AF46+21</f>
        <v>43039</v>
      </c>
      <c r="AH46" s="138">
        <f>AG46+90</f>
        <v>43129</v>
      </c>
    </row>
    <row r="47" spans="2:34" s="133" customFormat="1" ht="24" customHeight="1" x14ac:dyDescent="0.3">
      <c r="B47" s="213"/>
      <c r="C47" s="620"/>
      <c r="D47" s="512"/>
      <c r="E47" s="179"/>
      <c r="F47" s="140"/>
      <c r="G47" s="398"/>
      <c r="H47" s="631"/>
      <c r="I47" s="506"/>
      <c r="J47" s="515"/>
      <c r="K47" s="515"/>
      <c r="L47" s="515"/>
      <c r="M47" s="515"/>
      <c r="N47" s="401" t="s">
        <v>34</v>
      </c>
      <c r="O47" s="509"/>
      <c r="P47" s="509"/>
      <c r="Q47" s="509"/>
      <c r="R47" s="509"/>
      <c r="S47" s="142"/>
      <c r="T47" s="142"/>
      <c r="U47" s="142"/>
      <c r="V47" s="142"/>
      <c r="W47" s="142">
        <v>45154</v>
      </c>
      <c r="X47" s="142">
        <f xml:space="preserve"> W47+30</f>
        <v>45184</v>
      </c>
      <c r="Y47" s="142">
        <f>X47+3</f>
        <v>45187</v>
      </c>
      <c r="Z47" s="142">
        <f>Y47+11</f>
        <v>45198</v>
      </c>
      <c r="AA47" s="142">
        <f xml:space="preserve"> Z47+3</f>
        <v>45201</v>
      </c>
      <c r="AB47" s="142">
        <f>AA47+30+2</f>
        <v>45233</v>
      </c>
      <c r="AC47" s="636"/>
      <c r="AD47" s="636"/>
      <c r="AE47" s="142">
        <f xml:space="preserve"> AB47+3</f>
        <v>45236</v>
      </c>
      <c r="AF47" s="142">
        <f xml:space="preserve"> AE47+21</f>
        <v>45257</v>
      </c>
      <c r="AG47" s="142">
        <f>AF47+21</f>
        <v>45278</v>
      </c>
      <c r="AH47" s="143">
        <f>AG47+90+2</f>
        <v>45370</v>
      </c>
    </row>
    <row r="48" spans="2:34" s="133" customFormat="1" ht="24" customHeight="1" thickBot="1" x14ac:dyDescent="0.35">
      <c r="B48" s="213"/>
      <c r="C48" s="620"/>
      <c r="D48" s="512"/>
      <c r="E48" s="181"/>
      <c r="F48" s="145"/>
      <c r="G48" s="410"/>
      <c r="H48" s="631"/>
      <c r="I48" s="633"/>
      <c r="J48" s="516"/>
      <c r="K48" s="516"/>
      <c r="L48" s="516"/>
      <c r="M48" s="516"/>
      <c r="N48" s="402" t="s">
        <v>36</v>
      </c>
      <c r="O48" s="510"/>
      <c r="P48" s="510"/>
      <c r="Q48" s="510"/>
      <c r="R48" s="510"/>
      <c r="S48" s="147">
        <v>44900</v>
      </c>
      <c r="T48" s="147" t="s">
        <v>251</v>
      </c>
      <c r="U48" s="147">
        <v>44999</v>
      </c>
      <c r="V48" s="147">
        <v>45078</v>
      </c>
      <c r="W48" s="147">
        <v>45232</v>
      </c>
      <c r="X48" s="147">
        <v>45277</v>
      </c>
      <c r="Y48" s="147">
        <v>45280</v>
      </c>
      <c r="Z48" s="147">
        <v>45301</v>
      </c>
      <c r="AA48" s="147">
        <v>45232</v>
      </c>
      <c r="AB48" s="147">
        <v>45277</v>
      </c>
      <c r="AC48" s="637"/>
      <c r="AD48" s="637"/>
      <c r="AE48" s="147">
        <v>45342</v>
      </c>
      <c r="AF48" s="147">
        <v>45342</v>
      </c>
      <c r="AG48" s="147"/>
      <c r="AH48" s="323"/>
    </row>
    <row r="49" spans="2:34" s="133" customFormat="1" ht="24" customHeight="1" x14ac:dyDescent="0.3">
      <c r="B49" s="213"/>
      <c r="C49" s="553" t="s">
        <v>329</v>
      </c>
      <c r="D49" s="616" t="s">
        <v>2</v>
      </c>
      <c r="E49" s="368"/>
      <c r="F49" s="369"/>
      <c r="G49" s="370"/>
      <c r="H49" s="631"/>
      <c r="I49" s="634"/>
      <c r="J49" s="562" t="s">
        <v>112</v>
      </c>
      <c r="K49" s="562" t="s">
        <v>113</v>
      </c>
      <c r="L49" s="562" t="s">
        <v>113</v>
      </c>
      <c r="M49" s="562" t="s">
        <v>114</v>
      </c>
      <c r="N49" s="406" t="s">
        <v>0</v>
      </c>
      <c r="O49" s="608" t="s">
        <v>113</v>
      </c>
      <c r="P49" s="608" t="s">
        <v>113</v>
      </c>
      <c r="Q49" s="608" t="s">
        <v>113</v>
      </c>
      <c r="R49" s="608" t="s">
        <v>113</v>
      </c>
      <c r="S49" s="404">
        <v>42882</v>
      </c>
      <c r="T49" s="404">
        <f>+S49+15+4</f>
        <v>42901</v>
      </c>
      <c r="U49" s="404">
        <f xml:space="preserve"> T49+5</f>
        <v>42906</v>
      </c>
      <c r="V49" s="404">
        <f xml:space="preserve"> U49+30</f>
        <v>42936</v>
      </c>
      <c r="W49" s="137">
        <v>42953</v>
      </c>
      <c r="X49" s="137">
        <f>W49+15</f>
        <v>42968</v>
      </c>
      <c r="Y49" s="137">
        <f>X49+1</f>
        <v>42969</v>
      </c>
      <c r="Z49" s="137">
        <f>Y49+10</f>
        <v>42979</v>
      </c>
      <c r="AA49" s="137">
        <f>Z49+1</f>
        <v>42980</v>
      </c>
      <c r="AB49" s="137">
        <f>AA49+15</f>
        <v>42995</v>
      </c>
      <c r="AC49" s="635">
        <v>99433050</v>
      </c>
      <c r="AD49" s="635">
        <f>AC49</f>
        <v>99433050</v>
      </c>
      <c r="AE49" s="137">
        <f xml:space="preserve"> AB49+2</f>
        <v>42997</v>
      </c>
      <c r="AF49" s="137">
        <f>AE49+21</f>
        <v>43018</v>
      </c>
      <c r="AG49" s="137">
        <f>AF49+21</f>
        <v>43039</v>
      </c>
      <c r="AH49" s="138">
        <f>AG49+90</f>
        <v>43129</v>
      </c>
    </row>
    <row r="50" spans="2:34" s="133" customFormat="1" ht="24" customHeight="1" x14ac:dyDescent="0.3">
      <c r="B50" s="213"/>
      <c r="C50" s="553"/>
      <c r="D50" s="512"/>
      <c r="E50" s="139"/>
      <c r="F50" s="140"/>
      <c r="G50" s="141"/>
      <c r="H50" s="631"/>
      <c r="I50" s="506"/>
      <c r="J50" s="515"/>
      <c r="K50" s="515"/>
      <c r="L50" s="515"/>
      <c r="M50" s="515"/>
      <c r="N50" s="401" t="s">
        <v>34</v>
      </c>
      <c r="O50" s="608"/>
      <c r="P50" s="608"/>
      <c r="Q50" s="608"/>
      <c r="R50" s="608"/>
      <c r="S50" s="142"/>
      <c r="T50" s="142"/>
      <c r="U50" s="142"/>
      <c r="V50" s="142"/>
      <c r="W50" s="142">
        <v>45154</v>
      </c>
      <c r="X50" s="142">
        <f xml:space="preserve"> W50+30</f>
        <v>45184</v>
      </c>
      <c r="Y50" s="142">
        <f>X50+3</f>
        <v>45187</v>
      </c>
      <c r="Z50" s="142">
        <f>Y50+11</f>
        <v>45198</v>
      </c>
      <c r="AA50" s="142">
        <f xml:space="preserve"> Z50+3</f>
        <v>45201</v>
      </c>
      <c r="AB50" s="142">
        <f>AA50+30+2</f>
        <v>45233</v>
      </c>
      <c r="AC50" s="636"/>
      <c r="AD50" s="636"/>
      <c r="AE50" s="142">
        <f xml:space="preserve"> AB50+3</f>
        <v>45236</v>
      </c>
      <c r="AF50" s="142">
        <f xml:space="preserve"> AE50+21</f>
        <v>45257</v>
      </c>
      <c r="AG50" s="142">
        <f>AF50+21</f>
        <v>45278</v>
      </c>
      <c r="AH50" s="143">
        <f>AG50+90+2</f>
        <v>45370</v>
      </c>
    </row>
    <row r="51" spans="2:34" s="133" customFormat="1" ht="24" customHeight="1" thickBot="1" x14ac:dyDescent="0.35">
      <c r="B51" s="213"/>
      <c r="C51" s="621"/>
      <c r="D51" s="617"/>
      <c r="E51" s="144"/>
      <c r="F51" s="145"/>
      <c r="G51" s="146"/>
      <c r="H51" s="632"/>
      <c r="I51" s="633"/>
      <c r="J51" s="516"/>
      <c r="K51" s="516"/>
      <c r="L51" s="516"/>
      <c r="M51" s="516"/>
      <c r="N51" s="402" t="s">
        <v>36</v>
      </c>
      <c r="O51" s="644"/>
      <c r="P51" s="644"/>
      <c r="Q51" s="644"/>
      <c r="R51" s="644"/>
      <c r="S51" s="376">
        <v>44900</v>
      </c>
      <c r="T51" s="376" t="s">
        <v>251</v>
      </c>
      <c r="U51" s="376">
        <v>44999</v>
      </c>
      <c r="V51" s="376">
        <v>45078</v>
      </c>
      <c r="W51" s="147">
        <v>45127</v>
      </c>
      <c r="X51" s="147">
        <v>45169</v>
      </c>
      <c r="Y51" s="147">
        <v>45140</v>
      </c>
      <c r="Z51" s="147">
        <v>45159</v>
      </c>
      <c r="AA51" s="147">
        <v>45187</v>
      </c>
      <c r="AB51" s="147">
        <v>45211</v>
      </c>
      <c r="AC51" s="637"/>
      <c r="AD51" s="637"/>
      <c r="AE51" s="147">
        <v>45287</v>
      </c>
      <c r="AF51" s="147">
        <v>45288</v>
      </c>
      <c r="AG51" s="147"/>
      <c r="AH51" s="323"/>
    </row>
    <row r="52" spans="2:34" s="133" customFormat="1" ht="10.5" customHeight="1" thickBot="1" x14ac:dyDescent="0.4">
      <c r="B52" s="213"/>
      <c r="C52" s="155"/>
      <c r="D52" s="156"/>
      <c r="E52" s="157"/>
      <c r="F52" s="158"/>
      <c r="G52" s="159"/>
      <c r="H52" s="378"/>
      <c r="I52" s="384"/>
      <c r="J52" s="385"/>
      <c r="K52" s="385"/>
      <c r="L52" s="386"/>
      <c r="M52" s="385"/>
      <c r="N52" s="395"/>
      <c r="O52" s="160"/>
      <c r="P52" s="161"/>
      <c r="Q52" s="161"/>
      <c r="R52" s="161"/>
      <c r="S52" s="162"/>
      <c r="T52" s="162"/>
      <c r="U52" s="163"/>
      <c r="V52" s="163"/>
      <c r="W52" s="163"/>
      <c r="X52" s="163"/>
      <c r="Y52" s="163"/>
      <c r="Z52" s="163"/>
      <c r="AA52" s="163"/>
      <c r="AB52" s="163"/>
      <c r="AC52" s="304"/>
      <c r="AD52" s="305"/>
      <c r="AE52" s="163"/>
      <c r="AF52" s="163"/>
      <c r="AG52" s="163"/>
      <c r="AH52" s="164"/>
    </row>
    <row r="53" spans="2:34" s="133" customFormat="1" ht="24" customHeight="1" x14ac:dyDescent="0.3">
      <c r="B53" s="213"/>
      <c r="C53" s="517" t="s">
        <v>252</v>
      </c>
      <c r="D53" s="519" t="s">
        <v>2</v>
      </c>
      <c r="E53" s="165"/>
      <c r="F53" s="166"/>
      <c r="G53" s="167"/>
      <c r="H53" s="530">
        <v>200000</v>
      </c>
      <c r="I53" s="534"/>
      <c r="J53" s="521" t="s">
        <v>112</v>
      </c>
      <c r="K53" s="532" t="s">
        <v>113</v>
      </c>
      <c r="L53" s="537" t="s">
        <v>113</v>
      </c>
      <c r="M53" s="521" t="s">
        <v>114</v>
      </c>
      <c r="N53" s="392" t="s">
        <v>0</v>
      </c>
      <c r="O53" s="168"/>
      <c r="P53" s="169"/>
      <c r="Q53" s="169"/>
      <c r="R53" s="169"/>
      <c r="S53" s="137">
        <v>43247</v>
      </c>
      <c r="T53" s="137">
        <f>+S53+15+4</f>
        <v>43266</v>
      </c>
      <c r="U53" s="137">
        <f xml:space="preserve"> T53+5</f>
        <v>43271</v>
      </c>
      <c r="V53" s="137">
        <f xml:space="preserve"> U53+30</f>
        <v>43301</v>
      </c>
      <c r="W53" s="137">
        <v>43318</v>
      </c>
      <c r="X53" s="137">
        <f>W53+15</f>
        <v>43333</v>
      </c>
      <c r="Y53" s="137">
        <f>X53+1</f>
        <v>43334</v>
      </c>
      <c r="Z53" s="137">
        <f>Y53+10</f>
        <v>43344</v>
      </c>
      <c r="AA53" s="137">
        <f>Z53+1</f>
        <v>43345</v>
      </c>
      <c r="AB53" s="137">
        <f>AA53+15</f>
        <v>43360</v>
      </c>
      <c r="AC53" s="524">
        <v>97214703</v>
      </c>
      <c r="AD53" s="527">
        <f>AC53</f>
        <v>97214703</v>
      </c>
      <c r="AE53" s="137">
        <f xml:space="preserve"> AB53+2</f>
        <v>43362</v>
      </c>
      <c r="AF53" s="137">
        <f>AE53+21</f>
        <v>43383</v>
      </c>
      <c r="AG53" s="137">
        <f>AF53+21</f>
        <v>43404</v>
      </c>
      <c r="AH53" s="138">
        <f>AG53+90</f>
        <v>43494</v>
      </c>
    </row>
    <row r="54" spans="2:34" s="133" customFormat="1" ht="24" customHeight="1" x14ac:dyDescent="0.3">
      <c r="B54" s="213"/>
      <c r="C54" s="517"/>
      <c r="D54" s="519"/>
      <c r="E54" s="170"/>
      <c r="F54" s="171"/>
      <c r="G54" s="172"/>
      <c r="H54" s="530"/>
      <c r="I54" s="535"/>
      <c r="J54" s="522"/>
      <c r="K54" s="532"/>
      <c r="L54" s="538"/>
      <c r="M54" s="522"/>
      <c r="N54" s="393" t="s">
        <v>34</v>
      </c>
      <c r="O54" s="168"/>
      <c r="P54" s="169"/>
      <c r="Q54" s="169"/>
      <c r="R54" s="169"/>
      <c r="S54" s="142"/>
      <c r="T54" s="142"/>
      <c r="U54" s="142"/>
      <c r="V54" s="142"/>
      <c r="W54" s="142">
        <v>45154</v>
      </c>
      <c r="X54" s="142">
        <f xml:space="preserve"> W54+30</f>
        <v>45184</v>
      </c>
      <c r="Y54" s="142">
        <f>X54+3</f>
        <v>45187</v>
      </c>
      <c r="Z54" s="142">
        <f>Y54+11</f>
        <v>45198</v>
      </c>
      <c r="AA54" s="142">
        <f xml:space="preserve"> Z54+3</f>
        <v>45201</v>
      </c>
      <c r="AB54" s="142">
        <f>AA54+30+2</f>
        <v>45233</v>
      </c>
      <c r="AC54" s="525"/>
      <c r="AD54" s="528"/>
      <c r="AE54" s="142">
        <f xml:space="preserve"> AB54+3</f>
        <v>45236</v>
      </c>
      <c r="AF54" s="142">
        <f xml:space="preserve"> AE54+21</f>
        <v>45257</v>
      </c>
      <c r="AG54" s="142">
        <f>AF54+21</f>
        <v>45278</v>
      </c>
      <c r="AH54" s="143">
        <f>AG54+90+2</f>
        <v>45370</v>
      </c>
    </row>
    <row r="55" spans="2:34" s="133" customFormat="1" ht="24" customHeight="1" thickBot="1" x14ac:dyDescent="0.35">
      <c r="B55" s="213"/>
      <c r="C55" s="518"/>
      <c r="D55" s="520"/>
      <c r="E55" s="173"/>
      <c r="F55" s="174"/>
      <c r="G55" s="175"/>
      <c r="H55" s="531"/>
      <c r="I55" s="536"/>
      <c r="J55" s="523"/>
      <c r="K55" s="533"/>
      <c r="L55" s="539"/>
      <c r="M55" s="523"/>
      <c r="N55" s="394" t="s">
        <v>36</v>
      </c>
      <c r="O55" s="168"/>
      <c r="P55" s="169"/>
      <c r="Q55" s="169"/>
      <c r="R55" s="169"/>
      <c r="S55" s="147">
        <v>44900</v>
      </c>
      <c r="T55" s="147" t="s">
        <v>251</v>
      </c>
      <c r="U55" s="176">
        <v>44999</v>
      </c>
      <c r="V55" s="176">
        <v>45078</v>
      </c>
      <c r="W55" s="147">
        <v>45232</v>
      </c>
      <c r="X55" s="147">
        <v>45279</v>
      </c>
      <c r="Y55" s="147">
        <v>45280</v>
      </c>
      <c r="Z55" s="147">
        <v>45301</v>
      </c>
      <c r="AA55" s="147"/>
      <c r="AB55" s="147"/>
      <c r="AC55" s="526"/>
      <c r="AD55" s="529"/>
      <c r="AE55" s="147"/>
      <c r="AF55" s="147"/>
      <c r="AG55" s="147"/>
      <c r="AH55" s="323"/>
    </row>
    <row r="56" spans="2:34" s="133" customFormat="1" ht="24" customHeight="1" x14ac:dyDescent="0.3">
      <c r="B56" s="213"/>
      <c r="C56" s="563" t="s">
        <v>246</v>
      </c>
      <c r="D56" s="566" t="s">
        <v>3</v>
      </c>
      <c r="E56" s="177"/>
      <c r="F56" s="178"/>
      <c r="G56" s="136"/>
      <c r="H56" s="569">
        <v>50000</v>
      </c>
      <c r="I56" s="572"/>
      <c r="J56" s="522" t="s">
        <v>249</v>
      </c>
      <c r="K56" s="522" t="s">
        <v>113</v>
      </c>
      <c r="L56" s="521" t="s">
        <v>113</v>
      </c>
      <c r="M56" s="521" t="s">
        <v>247</v>
      </c>
      <c r="N56" s="396" t="s">
        <v>0</v>
      </c>
      <c r="O56" s="609" t="s">
        <v>113</v>
      </c>
      <c r="P56" s="609" t="s">
        <v>113</v>
      </c>
      <c r="Q56" s="609" t="s">
        <v>113</v>
      </c>
      <c r="R56" s="609" t="s">
        <v>113</v>
      </c>
      <c r="S56" s="604"/>
      <c r="T56" s="605"/>
      <c r="U56" s="137">
        <v>45146</v>
      </c>
      <c r="V56" s="137">
        <f>U56+15</f>
        <v>45161</v>
      </c>
      <c r="W56" s="606"/>
      <c r="X56" s="606"/>
      <c r="Y56" s="137">
        <v>45146</v>
      </c>
      <c r="Z56" s="137">
        <f>Y56</f>
        <v>45146</v>
      </c>
      <c r="AA56" s="606" t="s">
        <v>113</v>
      </c>
      <c r="AB56" s="605"/>
      <c r="AC56" s="638"/>
      <c r="AD56" s="641">
        <f>AC56</f>
        <v>0</v>
      </c>
      <c r="AE56" s="137">
        <v>45161</v>
      </c>
      <c r="AF56" s="137">
        <f>+AE56+2</f>
        <v>45163</v>
      </c>
      <c r="AG56" s="137">
        <f>AF56+6</f>
        <v>45169</v>
      </c>
      <c r="AH56" s="138">
        <f>+AG56+15</f>
        <v>45184</v>
      </c>
    </row>
    <row r="57" spans="2:34" s="133" customFormat="1" ht="24" customHeight="1" x14ac:dyDescent="0.3">
      <c r="B57" s="213"/>
      <c r="C57" s="564"/>
      <c r="D57" s="567"/>
      <c r="E57" s="179"/>
      <c r="F57" s="140"/>
      <c r="G57" s="141"/>
      <c r="H57" s="570"/>
      <c r="I57" s="573"/>
      <c r="J57" s="522"/>
      <c r="K57" s="522"/>
      <c r="L57" s="522"/>
      <c r="M57" s="522"/>
      <c r="N57" s="388" t="s">
        <v>34</v>
      </c>
      <c r="O57" s="610"/>
      <c r="P57" s="610"/>
      <c r="Q57" s="610"/>
      <c r="R57" s="610"/>
      <c r="S57" s="180"/>
      <c r="T57" s="180"/>
      <c r="U57" s="142"/>
      <c r="V57" s="142"/>
      <c r="W57" s="142"/>
      <c r="X57" s="142"/>
      <c r="Y57" s="142"/>
      <c r="Z57" s="142"/>
      <c r="AA57" s="142"/>
      <c r="AB57" s="142"/>
      <c r="AC57" s="639"/>
      <c r="AD57" s="642"/>
      <c r="AE57" s="142"/>
      <c r="AF57" s="142"/>
      <c r="AG57" s="142"/>
      <c r="AH57" s="143"/>
    </row>
    <row r="58" spans="2:34" s="133" customFormat="1" ht="30.75" customHeight="1" thickBot="1" x14ac:dyDescent="0.35">
      <c r="B58" s="213"/>
      <c r="C58" s="565"/>
      <c r="D58" s="568"/>
      <c r="E58" s="181"/>
      <c r="F58" s="145"/>
      <c r="G58" s="146"/>
      <c r="H58" s="571"/>
      <c r="I58" s="574"/>
      <c r="J58" s="523"/>
      <c r="K58" s="523"/>
      <c r="L58" s="523"/>
      <c r="M58" s="523"/>
      <c r="N58" s="397" t="s">
        <v>36</v>
      </c>
      <c r="O58" s="611"/>
      <c r="P58" s="611"/>
      <c r="Q58" s="611"/>
      <c r="R58" s="611"/>
      <c r="S58" s="182"/>
      <c r="T58" s="182"/>
      <c r="U58" s="153"/>
      <c r="V58" s="153"/>
      <c r="W58" s="153"/>
      <c r="X58" s="153"/>
      <c r="Y58" s="153"/>
      <c r="Z58" s="153"/>
      <c r="AA58" s="153"/>
      <c r="AB58" s="153"/>
      <c r="AC58" s="640"/>
      <c r="AD58" s="643"/>
      <c r="AE58" s="153"/>
      <c r="AF58" s="153"/>
      <c r="AG58" s="153"/>
      <c r="AH58" s="154"/>
    </row>
    <row r="59" spans="2:34" ht="24" customHeight="1" thickBot="1" x14ac:dyDescent="0.4">
      <c r="C59" s="183"/>
      <c r="D59" s="184"/>
      <c r="E59" s="185"/>
      <c r="F59" s="185"/>
      <c r="G59" s="185"/>
      <c r="H59" s="379"/>
      <c r="I59" s="184"/>
      <c r="J59" s="184"/>
      <c r="K59" s="186"/>
      <c r="L59" s="184"/>
      <c r="M59" s="184"/>
      <c r="N59" s="208"/>
      <c r="O59" s="185"/>
      <c r="P59" s="187"/>
      <c r="Q59" s="187"/>
      <c r="R59" s="187"/>
      <c r="S59" s="187"/>
      <c r="T59" s="187"/>
      <c r="U59" s="185"/>
      <c r="V59" s="185"/>
      <c r="W59" s="185"/>
      <c r="X59" s="185"/>
      <c r="Y59" s="185"/>
      <c r="Z59" s="185"/>
      <c r="AA59" s="185"/>
      <c r="AB59" s="185"/>
      <c r="AC59" s="306"/>
      <c r="AD59" s="306"/>
      <c r="AE59" s="185"/>
      <c r="AF59" s="185"/>
      <c r="AG59" s="185"/>
      <c r="AH59" s="185"/>
    </row>
    <row r="60" spans="2:34" s="191" customFormat="1" ht="25.2" customHeight="1" thickTop="1" x14ac:dyDescent="0.35">
      <c r="B60" s="214"/>
      <c r="C60" s="216" t="s">
        <v>134</v>
      </c>
      <c r="D60" s="188"/>
      <c r="E60" s="188"/>
      <c r="F60" s="188"/>
      <c r="G60" s="188"/>
      <c r="H60" s="380">
        <f>+H27+H40+H53+H56</f>
        <v>6287496</v>
      </c>
      <c r="I60" s="188"/>
      <c r="J60" s="188"/>
      <c r="K60" s="189"/>
      <c r="L60" s="189"/>
      <c r="M60" s="188"/>
      <c r="N60" s="209"/>
      <c r="O60" s="188"/>
      <c r="P60" s="188"/>
      <c r="Q60" s="188"/>
      <c r="R60" s="188"/>
      <c r="S60" s="188"/>
      <c r="T60" s="188"/>
      <c r="U60" s="188"/>
      <c r="V60" s="188"/>
      <c r="W60" s="188"/>
      <c r="X60" s="188"/>
      <c r="Y60" s="188"/>
      <c r="Z60" s="188"/>
      <c r="AA60" s="188"/>
      <c r="AB60" s="188"/>
      <c r="AC60" s="411">
        <f>SUM(AC27:AC59)</f>
        <v>4021703243</v>
      </c>
      <c r="AD60" s="411">
        <f>SUM(AD27:AD59)</f>
        <v>4021703243</v>
      </c>
      <c r="AE60" s="188"/>
      <c r="AF60" s="188"/>
      <c r="AG60" s="190"/>
      <c r="AH60" s="190"/>
    </row>
    <row r="61" spans="2:34" x14ac:dyDescent="0.3">
      <c r="C61" s="119"/>
      <c r="D61" s="107"/>
      <c r="E61" s="107"/>
      <c r="F61" s="107"/>
      <c r="G61" s="107"/>
      <c r="H61" s="192"/>
      <c r="I61" s="107"/>
      <c r="J61" s="107"/>
      <c r="K61" s="107"/>
      <c r="L61" s="107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</row>
    <row r="62" spans="2:34" ht="19.5" customHeight="1" x14ac:dyDescent="0.35">
      <c r="C62" s="193" t="s">
        <v>28</v>
      </c>
      <c r="D62" s="107"/>
      <c r="E62" s="107"/>
      <c r="F62" s="502" t="s">
        <v>85</v>
      </c>
      <c r="G62" s="194" t="s">
        <v>0</v>
      </c>
      <c r="H62" s="217">
        <f>H60</f>
        <v>6287496</v>
      </c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</row>
    <row r="63" spans="2:34" ht="19.5" customHeight="1" x14ac:dyDescent="0.3">
      <c r="C63" s="193" t="s">
        <v>29</v>
      </c>
      <c r="D63" s="107"/>
      <c r="E63" s="107"/>
      <c r="F63" s="503"/>
      <c r="G63" s="195" t="s">
        <v>58</v>
      </c>
      <c r="H63" s="196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</row>
    <row r="64" spans="2:34" ht="19.5" customHeight="1" x14ac:dyDescent="0.3">
      <c r="C64" s="193" t="s">
        <v>130</v>
      </c>
      <c r="E64" s="107"/>
      <c r="F64" s="504"/>
      <c r="G64" s="197" t="s">
        <v>86</v>
      </c>
      <c r="H64" s="196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333"/>
      <c r="Z64" s="333"/>
      <c r="AA64" s="333"/>
      <c r="AB64" s="333"/>
      <c r="AC64" s="107"/>
      <c r="AD64" s="107"/>
      <c r="AE64" s="333"/>
      <c r="AF64" s="333"/>
      <c r="AG64" s="333"/>
      <c r="AH64" s="333"/>
    </row>
    <row r="65" spans="3:34" x14ac:dyDescent="0.3">
      <c r="C65" s="193" t="s">
        <v>132</v>
      </c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</row>
    <row r="66" spans="3:34" ht="21.75" customHeight="1" x14ac:dyDescent="0.3">
      <c r="C66" s="193" t="s">
        <v>250</v>
      </c>
      <c r="E66" s="107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98"/>
      <c r="AE66" s="199"/>
      <c r="AF66" s="198"/>
      <c r="AG66" s="107"/>
      <c r="AH66" s="107"/>
    </row>
    <row r="67" spans="3:34" ht="21.75" customHeight="1" x14ac:dyDescent="0.3">
      <c r="C67" s="193"/>
      <c r="E67" s="107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</row>
    <row r="68" spans="3:34" x14ac:dyDescent="0.3">
      <c r="C68" s="11" t="s">
        <v>52</v>
      </c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107"/>
      <c r="AC68" s="107"/>
      <c r="AD68" s="200"/>
      <c r="AE68" s="201"/>
      <c r="AF68" s="107"/>
      <c r="AG68" s="107"/>
      <c r="AH68" s="107"/>
    </row>
    <row r="69" spans="3:34" ht="30" customHeight="1" x14ac:dyDescent="0.3">
      <c r="C69" s="549" t="s">
        <v>237</v>
      </c>
      <c r="D69" s="549"/>
      <c r="E69" s="549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98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</row>
    <row r="70" spans="3:34" ht="13.2" customHeight="1" x14ac:dyDescent="0.3">
      <c r="C70" s="202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</row>
    <row r="71" spans="3:34" x14ac:dyDescent="0.3">
      <c r="C71" s="203"/>
      <c r="D71" s="107"/>
      <c r="E71" s="107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</row>
    <row r="72" spans="3:34" x14ac:dyDescent="0.3">
      <c r="C72" s="204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</row>
    <row r="73" spans="3:34" x14ac:dyDescent="0.3">
      <c r="C73" s="202"/>
      <c r="D73" s="107"/>
      <c r="E73" s="107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</row>
    <row r="74" spans="3:34" x14ac:dyDescent="0.3">
      <c r="C74" s="202"/>
      <c r="D74" s="107"/>
      <c r="E74" s="107"/>
      <c r="F74" s="107"/>
      <c r="G74" s="107"/>
      <c r="H74" s="107"/>
      <c r="I74" s="107"/>
      <c r="J74" s="107"/>
      <c r="K74" s="107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</row>
    <row r="75" spans="3:34" x14ac:dyDescent="0.3">
      <c r="C75" s="203"/>
    </row>
    <row r="76" spans="3:34" x14ac:dyDescent="0.3">
      <c r="C76" s="203"/>
    </row>
    <row r="77" spans="3:34" x14ac:dyDescent="0.3">
      <c r="C77" s="203"/>
    </row>
    <row r="78" spans="3:34" x14ac:dyDescent="0.3">
      <c r="C78" s="203"/>
    </row>
    <row r="79" spans="3:34" x14ac:dyDescent="0.3">
      <c r="C79" s="203"/>
    </row>
    <row r="80" spans="3:34" x14ac:dyDescent="0.3">
      <c r="C80" s="203"/>
    </row>
    <row r="81" spans="3:3" x14ac:dyDescent="0.3">
      <c r="C81" s="203"/>
    </row>
    <row r="82" spans="3:3" x14ac:dyDescent="0.3">
      <c r="C82" s="203"/>
    </row>
    <row r="83" spans="3:3" x14ac:dyDescent="0.3">
      <c r="C83" s="203"/>
    </row>
    <row r="84" spans="3:3" x14ac:dyDescent="0.3">
      <c r="C84" s="203"/>
    </row>
    <row r="85" spans="3:3" x14ac:dyDescent="0.3">
      <c r="C85" s="203"/>
    </row>
    <row r="86" spans="3:3" x14ac:dyDescent="0.3">
      <c r="C86" s="203"/>
    </row>
    <row r="87" spans="3:3" x14ac:dyDescent="0.3">
      <c r="C87" s="203"/>
    </row>
    <row r="88" spans="3:3" x14ac:dyDescent="0.3">
      <c r="C88" s="203"/>
    </row>
    <row r="89" spans="3:3" x14ac:dyDescent="0.3">
      <c r="C89" s="203"/>
    </row>
    <row r="90" spans="3:3" x14ac:dyDescent="0.3">
      <c r="C90" s="203"/>
    </row>
    <row r="91" spans="3:3" x14ac:dyDescent="0.3">
      <c r="C91" s="203"/>
    </row>
    <row r="92" spans="3:3" x14ac:dyDescent="0.3">
      <c r="C92" s="203"/>
    </row>
    <row r="93" spans="3:3" x14ac:dyDescent="0.3">
      <c r="C93" s="203"/>
    </row>
    <row r="94" spans="3:3" x14ac:dyDescent="0.3">
      <c r="C94" s="203"/>
    </row>
    <row r="95" spans="3:3" x14ac:dyDescent="0.3">
      <c r="C95" s="203"/>
    </row>
    <row r="96" spans="3:3" x14ac:dyDescent="0.3">
      <c r="C96" s="203"/>
    </row>
    <row r="97" spans="3:3" x14ac:dyDescent="0.3">
      <c r="C97" s="203"/>
    </row>
    <row r="98" spans="3:3" x14ac:dyDescent="0.3">
      <c r="C98" s="203"/>
    </row>
    <row r="99" spans="3:3" x14ac:dyDescent="0.3">
      <c r="C99" s="203"/>
    </row>
    <row r="100" spans="3:3" x14ac:dyDescent="0.3">
      <c r="C100" s="203"/>
    </row>
    <row r="101" spans="3:3" x14ac:dyDescent="0.3">
      <c r="C101" s="203"/>
    </row>
    <row r="102" spans="3:3" x14ac:dyDescent="0.3">
      <c r="C102" s="203"/>
    </row>
    <row r="103" spans="3:3" x14ac:dyDescent="0.3">
      <c r="C103" s="203"/>
    </row>
    <row r="104" spans="3:3" x14ac:dyDescent="0.3">
      <c r="C104" s="203"/>
    </row>
    <row r="105" spans="3:3" x14ac:dyDescent="0.3">
      <c r="C105" s="203"/>
    </row>
    <row r="106" spans="3:3" x14ac:dyDescent="0.3">
      <c r="C106" s="203"/>
    </row>
    <row r="107" spans="3:3" x14ac:dyDescent="0.3">
      <c r="C107" s="203"/>
    </row>
    <row r="108" spans="3:3" x14ac:dyDescent="0.3">
      <c r="C108" s="203"/>
    </row>
    <row r="109" spans="3:3" x14ac:dyDescent="0.3">
      <c r="C109" s="203"/>
    </row>
    <row r="110" spans="3:3" x14ac:dyDescent="0.3">
      <c r="C110" s="203"/>
    </row>
    <row r="111" spans="3:3" x14ac:dyDescent="0.3">
      <c r="C111" s="203"/>
    </row>
    <row r="112" spans="3:3" x14ac:dyDescent="0.3">
      <c r="C112" s="203"/>
    </row>
    <row r="113" spans="3:3" x14ac:dyDescent="0.3">
      <c r="C113" s="203"/>
    </row>
    <row r="114" spans="3:3" x14ac:dyDescent="0.3">
      <c r="C114" s="203"/>
    </row>
    <row r="115" spans="3:3" x14ac:dyDescent="0.3">
      <c r="C115" s="203"/>
    </row>
    <row r="116" spans="3:3" x14ac:dyDescent="0.3">
      <c r="C116" s="203"/>
    </row>
    <row r="117" spans="3:3" x14ac:dyDescent="0.3">
      <c r="C117" s="203"/>
    </row>
    <row r="118" spans="3:3" x14ac:dyDescent="0.3">
      <c r="C118" s="203"/>
    </row>
    <row r="119" spans="3:3" x14ac:dyDescent="0.3">
      <c r="C119" s="203"/>
    </row>
    <row r="120" spans="3:3" x14ac:dyDescent="0.3">
      <c r="C120" s="203"/>
    </row>
    <row r="121" spans="3:3" x14ac:dyDescent="0.3">
      <c r="C121" s="203"/>
    </row>
    <row r="122" spans="3:3" x14ac:dyDescent="0.3">
      <c r="C122" s="203"/>
    </row>
    <row r="123" spans="3:3" x14ac:dyDescent="0.3">
      <c r="C123" s="203"/>
    </row>
    <row r="124" spans="3:3" x14ac:dyDescent="0.3">
      <c r="C124" s="203"/>
    </row>
    <row r="125" spans="3:3" x14ac:dyDescent="0.3">
      <c r="C125" s="203"/>
    </row>
    <row r="126" spans="3:3" x14ac:dyDescent="0.3">
      <c r="C126" s="203"/>
    </row>
    <row r="127" spans="3:3" x14ac:dyDescent="0.3">
      <c r="C127" s="203"/>
    </row>
    <row r="128" spans="3:3" x14ac:dyDescent="0.3">
      <c r="C128" s="203"/>
    </row>
    <row r="129" spans="3:3" x14ac:dyDescent="0.3">
      <c r="C129" s="203"/>
    </row>
    <row r="130" spans="3:3" x14ac:dyDescent="0.3">
      <c r="C130" s="203"/>
    </row>
    <row r="131" spans="3:3" x14ac:dyDescent="0.3">
      <c r="C131" s="203"/>
    </row>
    <row r="132" spans="3:3" x14ac:dyDescent="0.3">
      <c r="C132" s="203"/>
    </row>
    <row r="133" spans="3:3" x14ac:dyDescent="0.3">
      <c r="C133" s="203"/>
    </row>
    <row r="134" spans="3:3" x14ac:dyDescent="0.3">
      <c r="C134" s="203"/>
    </row>
    <row r="135" spans="3:3" x14ac:dyDescent="0.3">
      <c r="C135" s="203"/>
    </row>
    <row r="136" spans="3:3" x14ac:dyDescent="0.3">
      <c r="C136" s="203"/>
    </row>
    <row r="137" spans="3:3" x14ac:dyDescent="0.3">
      <c r="C137" s="203"/>
    </row>
    <row r="138" spans="3:3" x14ac:dyDescent="0.3">
      <c r="C138" s="203"/>
    </row>
    <row r="139" spans="3:3" x14ac:dyDescent="0.3">
      <c r="C139" s="203"/>
    </row>
    <row r="140" spans="3:3" x14ac:dyDescent="0.3">
      <c r="C140" s="203"/>
    </row>
    <row r="141" spans="3:3" x14ac:dyDescent="0.3">
      <c r="C141" s="203"/>
    </row>
    <row r="142" spans="3:3" x14ac:dyDescent="0.3">
      <c r="C142" s="203"/>
    </row>
    <row r="143" spans="3:3" x14ac:dyDescent="0.3">
      <c r="C143" s="203"/>
    </row>
    <row r="144" spans="3:3" x14ac:dyDescent="0.3">
      <c r="C144" s="203"/>
    </row>
    <row r="145" spans="2:42" x14ac:dyDescent="0.3">
      <c r="C145" s="203"/>
    </row>
    <row r="146" spans="2:42" x14ac:dyDescent="0.3">
      <c r="C146" s="203"/>
    </row>
    <row r="147" spans="2:42" x14ac:dyDescent="0.3">
      <c r="C147" s="203"/>
    </row>
    <row r="148" spans="2:42" x14ac:dyDescent="0.3">
      <c r="M148" s="205"/>
    </row>
    <row r="149" spans="2:42" x14ac:dyDescent="0.3">
      <c r="B149" s="215"/>
      <c r="C149" s="206"/>
      <c r="D149" s="206"/>
      <c r="E149" s="206"/>
      <c r="F149" s="206"/>
      <c r="G149" s="206"/>
      <c r="H149" s="206"/>
      <c r="I149" s="206"/>
      <c r="J149" s="206"/>
      <c r="K149" s="206"/>
      <c r="L149" s="206"/>
      <c r="M149" s="206"/>
      <c r="N149" s="206"/>
      <c r="O149" s="206"/>
      <c r="P149" s="206"/>
      <c r="Q149" s="206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  <c r="AD149" s="206"/>
      <c r="AE149" s="206"/>
      <c r="AF149" s="206"/>
      <c r="AG149" s="206"/>
      <c r="AH149" s="206"/>
      <c r="AI149" s="207"/>
      <c r="AJ149" s="207"/>
      <c r="AK149" s="207"/>
      <c r="AL149" s="207"/>
      <c r="AM149" s="207"/>
      <c r="AN149" s="207"/>
      <c r="AO149" s="207"/>
      <c r="AP149" s="207"/>
    </row>
    <row r="150" spans="2:42" x14ac:dyDescent="0.3">
      <c r="B150" s="215"/>
      <c r="C150" s="206"/>
      <c r="D150" s="206"/>
      <c r="E150" s="206"/>
      <c r="F150" s="206"/>
      <c r="G150" s="206"/>
      <c r="H150" s="206"/>
      <c r="I150" s="206"/>
      <c r="J150" s="206"/>
      <c r="K150" s="206"/>
      <c r="L150" s="206"/>
      <c r="M150" s="206"/>
      <c r="N150" s="206"/>
      <c r="O150" s="206"/>
      <c r="P150" s="206"/>
      <c r="Q150" s="206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  <c r="AD150" s="206"/>
      <c r="AE150" s="206"/>
      <c r="AF150" s="206"/>
      <c r="AG150" s="206"/>
      <c r="AH150" s="206"/>
      <c r="AI150" s="207"/>
      <c r="AJ150" s="207"/>
      <c r="AK150" s="207"/>
      <c r="AL150" s="207"/>
      <c r="AM150" s="207"/>
      <c r="AN150" s="207"/>
      <c r="AO150" s="207"/>
      <c r="AP150" s="207"/>
    </row>
    <row r="151" spans="2:42" x14ac:dyDescent="0.3">
      <c r="B151" s="215"/>
      <c r="C151" s="206"/>
      <c r="D151" s="206"/>
      <c r="E151" s="206"/>
      <c r="F151" s="206"/>
      <c r="G151" s="206"/>
      <c r="H151" s="206"/>
      <c r="I151" s="206"/>
      <c r="J151" s="206"/>
      <c r="K151" s="206"/>
      <c r="L151" s="206"/>
      <c r="M151" s="206"/>
      <c r="N151" s="206"/>
      <c r="O151" s="206"/>
      <c r="P151" s="206"/>
      <c r="Q151" s="206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  <c r="AD151" s="206"/>
      <c r="AE151" s="206"/>
      <c r="AF151" s="206"/>
      <c r="AG151" s="206"/>
      <c r="AH151" s="206"/>
      <c r="AI151" s="207"/>
      <c r="AJ151" s="207"/>
      <c r="AK151" s="207"/>
      <c r="AL151" s="207"/>
      <c r="AM151" s="207"/>
      <c r="AN151" s="207"/>
      <c r="AO151" s="207"/>
      <c r="AP151" s="207"/>
    </row>
    <row r="152" spans="2:42" x14ac:dyDescent="0.3">
      <c r="C152" s="207"/>
      <c r="D152" s="207"/>
      <c r="E152" s="207"/>
      <c r="F152" s="207"/>
      <c r="G152" s="207"/>
      <c r="H152" s="207"/>
      <c r="I152" s="207"/>
      <c r="J152" s="207"/>
      <c r="K152" s="207"/>
      <c r="L152" s="207"/>
      <c r="M152" s="207"/>
      <c r="N152" s="207"/>
      <c r="O152" s="207"/>
      <c r="P152" s="207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  <c r="AA152" s="207"/>
      <c r="AB152" s="207"/>
      <c r="AC152" s="207"/>
      <c r="AD152" s="207"/>
      <c r="AE152" s="207"/>
      <c r="AF152" s="207"/>
      <c r="AG152" s="207"/>
      <c r="AH152" s="207"/>
      <c r="AI152" s="207"/>
      <c r="AJ152" s="207"/>
      <c r="AK152" s="207"/>
      <c r="AL152" s="207"/>
      <c r="AM152" s="207"/>
      <c r="AN152" s="207"/>
      <c r="AO152" s="207"/>
      <c r="AP152" s="207"/>
    </row>
  </sheetData>
  <mergeCells count="155">
    <mergeCell ref="AC56:AC58"/>
    <mergeCell ref="AD56:AD58"/>
    <mergeCell ref="O43:O45"/>
    <mergeCell ref="P43:P45"/>
    <mergeCell ref="Q43:Q45"/>
    <mergeCell ref="R43:R45"/>
    <mergeCell ref="O46:O48"/>
    <mergeCell ref="P46:P48"/>
    <mergeCell ref="Q46:Q48"/>
    <mergeCell ref="R46:R48"/>
    <mergeCell ref="O49:O51"/>
    <mergeCell ref="P49:P51"/>
    <mergeCell ref="Q49:Q51"/>
    <mergeCell ref="R49:R51"/>
    <mergeCell ref="R56:R58"/>
    <mergeCell ref="AD43:AD45"/>
    <mergeCell ref="AD46:AD48"/>
    <mergeCell ref="AD49:AD51"/>
    <mergeCell ref="M43:M45"/>
    <mergeCell ref="I46:I48"/>
    <mergeCell ref="J46:J48"/>
    <mergeCell ref="K46:K48"/>
    <mergeCell ref="L46:L48"/>
    <mergeCell ref="M46:M48"/>
    <mergeCell ref="J43:J45"/>
    <mergeCell ref="K43:K45"/>
    <mergeCell ref="L43:L45"/>
    <mergeCell ref="I49:I51"/>
    <mergeCell ref="J49:J51"/>
    <mergeCell ref="K49:K51"/>
    <mergeCell ref="L49:L51"/>
    <mergeCell ref="M49:M51"/>
    <mergeCell ref="AC43:AC45"/>
    <mergeCell ref="AC46:AC48"/>
    <mergeCell ref="AC49:AC51"/>
    <mergeCell ref="D46:D48"/>
    <mergeCell ref="D49:D51"/>
    <mergeCell ref="C43:C45"/>
    <mergeCell ref="C46:C48"/>
    <mergeCell ref="C49:C51"/>
    <mergeCell ref="Q36:Q38"/>
    <mergeCell ref="R36:R38"/>
    <mergeCell ref="AC30:AC32"/>
    <mergeCell ref="I30:I32"/>
    <mergeCell ref="I33:I35"/>
    <mergeCell ref="I36:I38"/>
    <mergeCell ref="R40:R42"/>
    <mergeCell ref="C30:C32"/>
    <mergeCell ref="C33:C35"/>
    <mergeCell ref="C36:C38"/>
    <mergeCell ref="D30:D32"/>
    <mergeCell ref="D33:D35"/>
    <mergeCell ref="D36:D38"/>
    <mergeCell ref="H27:H38"/>
    <mergeCell ref="J30:J32"/>
    <mergeCell ref="K30:K32"/>
    <mergeCell ref="L30:L32"/>
    <mergeCell ref="H40:H51"/>
    <mergeCell ref="I43:I45"/>
    <mergeCell ref="AC36:AC38"/>
    <mergeCell ref="AD36:AD38"/>
    <mergeCell ref="Q30:Q32"/>
    <mergeCell ref="R30:R32"/>
    <mergeCell ref="O33:O35"/>
    <mergeCell ref="P33:P35"/>
    <mergeCell ref="Q33:Q35"/>
    <mergeCell ref="R33:R35"/>
    <mergeCell ref="O30:O32"/>
    <mergeCell ref="P30:P32"/>
    <mergeCell ref="O36:O38"/>
    <mergeCell ref="P36:P38"/>
    <mergeCell ref="D11:I11"/>
    <mergeCell ref="D12:I12"/>
    <mergeCell ref="I27:I29"/>
    <mergeCell ref="H21:J21"/>
    <mergeCell ref="I22:J22"/>
    <mergeCell ref="D27:D29"/>
    <mergeCell ref="H16:J16"/>
    <mergeCell ref="D18:G19"/>
    <mergeCell ref="H18:J20"/>
    <mergeCell ref="D6:I6"/>
    <mergeCell ref="D10:I10"/>
    <mergeCell ref="C2:T2"/>
    <mergeCell ref="AG25:AH25"/>
    <mergeCell ref="AD25:AF25"/>
    <mergeCell ref="U25:V25"/>
    <mergeCell ref="W25:X25"/>
    <mergeCell ref="Y25:Z25"/>
    <mergeCell ref="AA25:AC25"/>
    <mergeCell ref="M40:M42"/>
    <mergeCell ref="J27:J29"/>
    <mergeCell ref="L40:L42"/>
    <mergeCell ref="K40:K42"/>
    <mergeCell ref="J40:J42"/>
    <mergeCell ref="M30:M32"/>
    <mergeCell ref="J33:J35"/>
    <mergeCell ref="K33:K35"/>
    <mergeCell ref="L33:L35"/>
    <mergeCell ref="M33:M35"/>
    <mergeCell ref="J36:J38"/>
    <mergeCell ref="K36:K38"/>
    <mergeCell ref="L36:L38"/>
    <mergeCell ref="M36:M38"/>
    <mergeCell ref="AC27:AC29"/>
    <mergeCell ref="M27:M29"/>
    <mergeCell ref="K27:K29"/>
    <mergeCell ref="S25:T25"/>
    <mergeCell ref="O25:P25"/>
    <mergeCell ref="D25:N25"/>
    <mergeCell ref="O27:O29"/>
    <mergeCell ref="P27:P29"/>
    <mergeCell ref="Q27:Q29"/>
    <mergeCell ref="Q25:R25"/>
    <mergeCell ref="C69:E69"/>
    <mergeCell ref="C27:C29"/>
    <mergeCell ref="C40:C42"/>
    <mergeCell ref="C56:C58"/>
    <mergeCell ref="D56:D58"/>
    <mergeCell ref="H56:H58"/>
    <mergeCell ref="J56:J58"/>
    <mergeCell ref="M56:M58"/>
    <mergeCell ref="I56:I58"/>
    <mergeCell ref="K56:K58"/>
    <mergeCell ref="L56:L58"/>
    <mergeCell ref="O40:O42"/>
    <mergeCell ref="P40:P42"/>
    <mergeCell ref="Q40:Q42"/>
    <mergeCell ref="O56:O58"/>
    <mergeCell ref="P56:P58"/>
    <mergeCell ref="Q56:Q58"/>
    <mergeCell ref="D43:D45"/>
    <mergeCell ref="AD27:AD29"/>
    <mergeCell ref="AC40:AC42"/>
    <mergeCell ref="AD40:AD42"/>
    <mergeCell ref="F62:F64"/>
    <mergeCell ref="I40:I42"/>
    <mergeCell ref="R27:R29"/>
    <mergeCell ref="D40:D42"/>
    <mergeCell ref="L27:L29"/>
    <mergeCell ref="C53:C55"/>
    <mergeCell ref="D53:D55"/>
    <mergeCell ref="M53:M55"/>
    <mergeCell ref="AC53:AC55"/>
    <mergeCell ref="AD53:AD55"/>
    <mergeCell ref="H53:H55"/>
    <mergeCell ref="J53:J55"/>
    <mergeCell ref="K53:K55"/>
    <mergeCell ref="I53:I55"/>
    <mergeCell ref="L53:L55"/>
    <mergeCell ref="S56:T56"/>
    <mergeCell ref="AA56:AB56"/>
    <mergeCell ref="W56:X56"/>
    <mergeCell ref="AD30:AD32"/>
    <mergeCell ref="AC33:AC35"/>
    <mergeCell ref="AD33:AD35"/>
  </mergeCells>
  <phoneticPr fontId="2" type="noConversion"/>
  <printOptions horizontalCentered="1" verticalCentered="1"/>
  <pageMargins left="0.23622047244094491" right="0.23622047244094491" top="0.23622047244094491" bottom="0.23622047244094491" header="0.23622047244094491" footer="0.23622047244094491"/>
  <pageSetup paperSize="8" scale="40" fitToWidth="2" fitToHeight="0" orientation="landscape" r:id="rId1"/>
  <headerFooter alignWithMargins="0">
    <oddHeader xml:space="preserve">&amp;C&amp;"Times New Roman,Bold"&amp;14Procurement Plan-&amp;A </oddHeader>
    <oddFooter>&amp;L&amp;"Times New Roman,Normal"&amp;F&amp;C&amp;"Times New Roman,Normal"Page &amp;P |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B2:AH58"/>
  <sheetViews>
    <sheetView showGridLines="0" tabSelected="1" view="pageBreakPreview" zoomScale="90" zoomScaleNormal="100" zoomScaleSheetLayoutView="90" workbookViewId="0">
      <selection activeCell="AM9" sqref="AM9"/>
    </sheetView>
  </sheetViews>
  <sheetFormatPr baseColWidth="10" defaultColWidth="9.109375" defaultRowHeight="16.8" x14ac:dyDescent="0.4"/>
  <cols>
    <col min="1" max="1" width="1.44140625" style="1" customWidth="1"/>
    <col min="2" max="2" width="3.44140625" style="5" customWidth="1"/>
    <col min="3" max="3" width="50.109375" style="6" customWidth="1"/>
    <col min="4" max="4" width="12.5546875" style="1" customWidth="1"/>
    <col min="5" max="5" width="13.88671875" style="1" customWidth="1"/>
    <col min="6" max="6" width="11.44140625" style="1" customWidth="1"/>
    <col min="7" max="7" width="17.44140625" style="1" customWidth="1"/>
    <col min="8" max="8" width="13.33203125" style="1" customWidth="1"/>
    <col min="9" max="9" width="11.109375" style="1" bestFit="1" customWidth="1"/>
    <col min="10" max="10" width="11.109375" style="1" customWidth="1"/>
    <col min="11" max="11" width="9.5546875" style="1" customWidth="1"/>
    <col min="12" max="17" width="12.6640625" style="1" customWidth="1"/>
    <col min="18" max="19" width="12.5546875" style="1" customWidth="1"/>
    <col min="20" max="20" width="11.5546875" style="1" bestFit="1" customWidth="1"/>
    <col min="21" max="21" width="13.44140625" style="1" customWidth="1"/>
    <col min="22" max="22" width="15.5546875" style="1" customWidth="1"/>
    <col min="23" max="23" width="14.21875" style="1" customWidth="1"/>
    <col min="24" max="25" width="13.88671875" style="1" customWidth="1"/>
    <col min="26" max="26" width="15.5546875" style="1" customWidth="1"/>
    <col min="27" max="27" width="15.109375" style="1" customWidth="1"/>
    <col min="28" max="28" width="15.44140625" style="1" customWidth="1"/>
    <col min="29" max="30" width="13.88671875" style="1" customWidth="1"/>
    <col min="31" max="31" width="14.109375" style="1" customWidth="1"/>
    <col min="32" max="32" width="13.109375" style="1" customWidth="1"/>
    <col min="33" max="33" width="12.33203125" style="1" customWidth="1"/>
    <col min="34" max="34" width="13.33203125" style="1" customWidth="1"/>
    <col min="35" max="35" width="1.6640625" style="1" customWidth="1"/>
    <col min="36" max="16384" width="9.109375" style="1"/>
  </cols>
  <sheetData>
    <row r="2" spans="2:34" ht="20.399999999999999" x14ac:dyDescent="0.4">
      <c r="C2" s="710" t="s">
        <v>7</v>
      </c>
      <c r="D2" s="710"/>
      <c r="E2" s="710"/>
      <c r="F2" s="710"/>
      <c r="G2" s="710"/>
      <c r="H2" s="710"/>
      <c r="I2" s="710"/>
      <c r="J2" s="710"/>
      <c r="K2" s="710"/>
      <c r="L2" s="710"/>
      <c r="M2" s="710"/>
      <c r="N2" s="710"/>
      <c r="O2" s="710"/>
      <c r="P2" s="710"/>
      <c r="Q2" s="710"/>
      <c r="R2" s="710"/>
      <c r="S2" s="710"/>
      <c r="T2" s="710"/>
      <c r="U2" s="710"/>
    </row>
    <row r="3" spans="2:34" ht="13.2" customHeight="1" x14ac:dyDescent="0.4">
      <c r="E3" s="320"/>
      <c r="F3" s="321"/>
      <c r="G3" s="321"/>
      <c r="H3" s="321"/>
      <c r="I3" s="321"/>
      <c r="J3" s="321"/>
      <c r="K3" s="321"/>
    </row>
    <row r="4" spans="2:34" x14ac:dyDescent="0.4">
      <c r="B4" s="5" t="s">
        <v>2</v>
      </c>
      <c r="C4" s="7" t="s">
        <v>8</v>
      </c>
      <c r="D4" s="24"/>
      <c r="E4" s="24"/>
      <c r="F4" s="24"/>
    </row>
    <row r="5" spans="2:34" x14ac:dyDescent="0.4">
      <c r="C5" s="8" t="s">
        <v>9</v>
      </c>
      <c r="D5" s="84" t="s">
        <v>124</v>
      </c>
      <c r="E5" s="85"/>
      <c r="F5" s="85"/>
      <c r="G5" s="85"/>
      <c r="H5" s="86"/>
      <c r="I5" s="87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</row>
    <row r="6" spans="2:34" ht="33" customHeight="1" x14ac:dyDescent="0.4">
      <c r="C6" s="8" t="s">
        <v>266</v>
      </c>
      <c r="D6" s="697" t="s">
        <v>125</v>
      </c>
      <c r="E6" s="698"/>
      <c r="F6" s="698"/>
      <c r="G6" s="698"/>
      <c r="H6" s="698"/>
      <c r="I6" s="699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</row>
    <row r="7" spans="2:34" x14ac:dyDescent="0.4">
      <c r="C7" s="8" t="s">
        <v>265</v>
      </c>
      <c r="D7" s="84" t="s">
        <v>126</v>
      </c>
      <c r="E7" s="85"/>
      <c r="F7" s="85"/>
      <c r="G7" s="85"/>
      <c r="H7" s="86"/>
      <c r="I7" s="87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</row>
    <row r="8" spans="2:34" x14ac:dyDescent="0.4">
      <c r="C8" s="9" t="s">
        <v>264</v>
      </c>
      <c r="D8" s="84" t="s">
        <v>127</v>
      </c>
      <c r="E8" s="85"/>
      <c r="F8" s="85"/>
      <c r="G8" s="85"/>
      <c r="H8" s="86"/>
      <c r="I8" s="87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</row>
    <row r="9" spans="2:34" x14ac:dyDescent="0.4">
      <c r="C9" s="9" t="s">
        <v>12</v>
      </c>
      <c r="D9" s="84" t="s">
        <v>128</v>
      </c>
      <c r="E9" s="85"/>
      <c r="F9" s="85"/>
      <c r="G9" s="85"/>
      <c r="H9" s="86"/>
      <c r="I9" s="87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</row>
    <row r="10" spans="2:34" x14ac:dyDescent="0.4">
      <c r="C10" s="9" t="s">
        <v>13</v>
      </c>
      <c r="D10" s="700" t="s">
        <v>244</v>
      </c>
      <c r="E10" s="701"/>
      <c r="F10" s="701"/>
      <c r="G10" s="701"/>
      <c r="H10" s="701"/>
      <c r="I10" s="702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</row>
    <row r="11" spans="2:34" x14ac:dyDescent="0.4">
      <c r="C11" s="9" t="s">
        <v>14</v>
      </c>
      <c r="D11" s="693" t="s">
        <v>245</v>
      </c>
      <c r="E11" s="694"/>
      <c r="F11" s="694"/>
      <c r="G11" s="694"/>
      <c r="H11" s="694"/>
      <c r="I11" s="695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</row>
    <row r="12" spans="2:34" x14ac:dyDescent="0.4">
      <c r="C12" s="9" t="s">
        <v>267</v>
      </c>
      <c r="D12" s="693"/>
      <c r="E12" s="694"/>
      <c r="F12" s="694"/>
      <c r="G12" s="694"/>
      <c r="H12" s="694"/>
      <c r="I12" s="695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</row>
    <row r="13" spans="2:34" x14ac:dyDescent="0.4">
      <c r="C13" s="9" t="s">
        <v>16</v>
      </c>
      <c r="D13" s="88" t="s">
        <v>263</v>
      </c>
      <c r="E13" s="88"/>
      <c r="F13" s="88"/>
      <c r="G13" s="88"/>
      <c r="H13" s="88"/>
      <c r="I13" s="89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</row>
    <row r="14" spans="2:34" x14ac:dyDescent="0.4">
      <c r="C14" s="102" t="s">
        <v>17</v>
      </c>
      <c r="D14" s="17" t="s">
        <v>73</v>
      </c>
      <c r="E14" s="17"/>
      <c r="F14" s="17"/>
      <c r="G14" s="18"/>
      <c r="H14" s="18"/>
      <c r="I14" s="18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</row>
    <row r="15" spans="2:34" ht="15" customHeight="1" x14ac:dyDescent="0.4">
      <c r="C15" s="10"/>
      <c r="D15" s="17"/>
      <c r="E15" s="17"/>
      <c r="F15" s="19"/>
      <c r="G15" s="16"/>
      <c r="H15" s="696" t="s">
        <v>5</v>
      </c>
      <c r="I15" s="696"/>
      <c r="J15" s="696"/>
      <c r="K15" s="69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</row>
    <row r="16" spans="2:34" x14ac:dyDescent="0.4">
      <c r="B16" s="5" t="s">
        <v>3</v>
      </c>
      <c r="C16" s="11" t="s">
        <v>53</v>
      </c>
      <c r="D16" s="20"/>
      <c r="E16" s="20"/>
      <c r="F16" s="19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</row>
    <row r="17" spans="2:34" ht="7.5" customHeight="1" x14ac:dyDescent="0.4">
      <c r="C17" s="11"/>
      <c r="D17" s="20"/>
      <c r="E17" s="20"/>
      <c r="F17" s="19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</row>
    <row r="18" spans="2:34" s="4" customFormat="1" ht="15" x14ac:dyDescent="0.35">
      <c r="B18" s="90"/>
      <c r="C18" s="12" t="s">
        <v>79</v>
      </c>
      <c r="D18" s="475" t="s">
        <v>84</v>
      </c>
      <c r="E18" s="476"/>
      <c r="F18" s="476"/>
      <c r="G18" s="477"/>
      <c r="H18" s="479" t="s">
        <v>18</v>
      </c>
      <c r="I18" s="480"/>
      <c r="J18" s="481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</row>
    <row r="19" spans="2:34" s="4" customFormat="1" ht="15" x14ac:dyDescent="0.35">
      <c r="B19" s="90"/>
      <c r="C19" s="13"/>
      <c r="D19" s="25" t="s">
        <v>80</v>
      </c>
      <c r="E19" s="25" t="s">
        <v>81</v>
      </c>
      <c r="F19" s="25" t="s">
        <v>238</v>
      </c>
      <c r="G19" s="25" t="s">
        <v>83</v>
      </c>
      <c r="H19" s="485"/>
      <c r="I19" s="486"/>
      <c r="J19" s="487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</row>
    <row r="20" spans="2:34" s="4" customFormat="1" ht="15" x14ac:dyDescent="0.35">
      <c r="B20" s="90"/>
      <c r="C20" s="14"/>
      <c r="D20" s="26" t="s">
        <v>73</v>
      </c>
      <c r="E20" s="27"/>
      <c r="F20" s="27"/>
      <c r="G20" s="27"/>
      <c r="H20" s="497"/>
      <c r="I20" s="470"/>
      <c r="J20" s="471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</row>
    <row r="21" spans="2:34" s="4" customFormat="1" ht="15" x14ac:dyDescent="0.35">
      <c r="B21" s="90"/>
      <c r="C21" s="14"/>
      <c r="D21" s="28"/>
      <c r="E21" s="27"/>
      <c r="F21" s="27"/>
      <c r="G21" s="27"/>
      <c r="H21" s="27"/>
      <c r="I21" s="470"/>
      <c r="J21" s="471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</row>
    <row r="22" spans="2:34" ht="17.399999999999999" customHeight="1" x14ac:dyDescent="0.4">
      <c r="C22" s="15"/>
      <c r="D22" s="21"/>
      <c r="E22" s="22"/>
      <c r="F22" s="21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</row>
    <row r="23" spans="2:34" s="2" customFormat="1" ht="28.5" customHeight="1" x14ac:dyDescent="0.25">
      <c r="B23" s="91" t="s">
        <v>6</v>
      </c>
      <c r="C23" s="94" t="s">
        <v>71</v>
      </c>
      <c r="D23" s="703" t="s">
        <v>47</v>
      </c>
      <c r="E23" s="704"/>
      <c r="F23" s="704"/>
      <c r="G23" s="704"/>
      <c r="H23" s="704"/>
      <c r="I23" s="704"/>
      <c r="J23" s="704"/>
      <c r="K23" s="29"/>
      <c r="L23" s="705" t="s">
        <v>59</v>
      </c>
      <c r="M23" s="706"/>
      <c r="N23" s="707" t="s">
        <v>257</v>
      </c>
      <c r="O23" s="706"/>
      <c r="P23" s="707" t="s">
        <v>60</v>
      </c>
      <c r="Q23" s="706"/>
      <c r="R23" s="707" t="s">
        <v>64</v>
      </c>
      <c r="S23" s="706"/>
      <c r="T23" s="705" t="s">
        <v>65</v>
      </c>
      <c r="U23" s="706"/>
      <c r="V23" s="705" t="s">
        <v>260</v>
      </c>
      <c r="W23" s="707"/>
      <c r="X23" s="706"/>
      <c r="Y23" s="30"/>
      <c r="Z23" s="31"/>
      <c r="AA23" s="705" t="s">
        <v>42</v>
      </c>
      <c r="AB23" s="707"/>
      <c r="AC23" s="706"/>
      <c r="AD23" s="705" t="s">
        <v>92</v>
      </c>
      <c r="AE23" s="707"/>
      <c r="AF23" s="706"/>
      <c r="AG23" s="705" t="s">
        <v>51</v>
      </c>
      <c r="AH23" s="706"/>
    </row>
    <row r="24" spans="2:34" s="2" customFormat="1" ht="60.6" customHeight="1" x14ac:dyDescent="0.25">
      <c r="B24" s="91"/>
      <c r="C24" s="95" t="s">
        <v>1</v>
      </c>
      <c r="D24" s="99" t="s">
        <v>54</v>
      </c>
      <c r="E24" s="99" t="s">
        <v>44</v>
      </c>
      <c r="F24" s="99" t="s">
        <v>55</v>
      </c>
      <c r="G24" s="99" t="s">
        <v>56</v>
      </c>
      <c r="H24" s="99" t="s">
        <v>262</v>
      </c>
      <c r="I24" s="99" t="s">
        <v>26</v>
      </c>
      <c r="J24" s="99" t="s">
        <v>57</v>
      </c>
      <c r="K24" s="100" t="s">
        <v>50</v>
      </c>
      <c r="L24" s="99" t="s">
        <v>61</v>
      </c>
      <c r="M24" s="99" t="s">
        <v>62</v>
      </c>
      <c r="N24" s="99" t="s">
        <v>63</v>
      </c>
      <c r="O24" s="99" t="s">
        <v>44</v>
      </c>
      <c r="P24" s="99" t="s">
        <v>63</v>
      </c>
      <c r="Q24" s="99" t="s">
        <v>44</v>
      </c>
      <c r="R24" s="99" t="s">
        <v>63</v>
      </c>
      <c r="S24" s="99" t="s">
        <v>44</v>
      </c>
      <c r="T24" s="99" t="s">
        <v>66</v>
      </c>
      <c r="U24" s="100" t="s">
        <v>67</v>
      </c>
      <c r="V24" s="99" t="s">
        <v>68</v>
      </c>
      <c r="W24" s="99" t="s">
        <v>69</v>
      </c>
      <c r="X24" s="99" t="s">
        <v>70</v>
      </c>
      <c r="Y24" s="99" t="s">
        <v>87</v>
      </c>
      <c r="Z24" s="99" t="s">
        <v>88</v>
      </c>
      <c r="AA24" s="99" t="s">
        <v>89</v>
      </c>
      <c r="AB24" s="100" t="s">
        <v>240</v>
      </c>
      <c r="AC24" s="99" t="s">
        <v>44</v>
      </c>
      <c r="AD24" s="101" t="s">
        <v>170</v>
      </c>
      <c r="AE24" s="101" t="s">
        <v>90</v>
      </c>
      <c r="AF24" s="100" t="s">
        <v>91</v>
      </c>
      <c r="AG24" s="100" t="s">
        <v>45</v>
      </c>
      <c r="AH24" s="100" t="s">
        <v>46</v>
      </c>
    </row>
    <row r="25" spans="2:34" s="3" customFormat="1" ht="25.2" customHeight="1" x14ac:dyDescent="0.4">
      <c r="B25" s="92"/>
      <c r="C25" s="691" t="s">
        <v>123</v>
      </c>
      <c r="D25" s="32">
        <v>42186</v>
      </c>
      <c r="E25" s="32">
        <f>D25+5</f>
        <v>42191</v>
      </c>
      <c r="F25" s="685" t="s">
        <v>255</v>
      </c>
      <c r="G25" s="692" t="s">
        <v>142</v>
      </c>
      <c r="H25" s="683">
        <v>484899</v>
      </c>
      <c r="I25" s="657" t="s">
        <v>114</v>
      </c>
      <c r="J25" s="35" t="s">
        <v>145</v>
      </c>
      <c r="K25" s="36" t="s">
        <v>0</v>
      </c>
      <c r="L25" s="34" t="s">
        <v>147</v>
      </c>
      <c r="M25" s="37">
        <f xml:space="preserve"> L25+15</f>
        <v>42208</v>
      </c>
      <c r="N25" s="34" t="s">
        <v>149</v>
      </c>
      <c r="O25" s="34" t="s">
        <v>150</v>
      </c>
      <c r="P25" s="34" t="s">
        <v>152</v>
      </c>
      <c r="Q25" s="34" t="s">
        <v>150</v>
      </c>
      <c r="R25" s="34" t="s">
        <v>149</v>
      </c>
      <c r="S25" s="34" t="s">
        <v>156</v>
      </c>
      <c r="T25" s="34" t="s">
        <v>154</v>
      </c>
      <c r="U25" s="34" t="s">
        <v>157</v>
      </c>
      <c r="V25" s="34" t="s">
        <v>159</v>
      </c>
      <c r="W25" s="34" t="s">
        <v>161</v>
      </c>
      <c r="X25" s="34" t="s">
        <v>163</v>
      </c>
      <c r="Y25" s="34" t="s">
        <v>165</v>
      </c>
      <c r="Z25" s="34" t="s">
        <v>167</v>
      </c>
      <c r="AA25" s="34" t="s">
        <v>165</v>
      </c>
      <c r="AB25" s="690">
        <v>203303413</v>
      </c>
      <c r="AC25" s="34" t="s">
        <v>169</v>
      </c>
      <c r="AD25" s="689">
        <v>203303413</v>
      </c>
      <c r="AE25" s="34" t="s">
        <v>173</v>
      </c>
      <c r="AF25" s="34" t="s">
        <v>174</v>
      </c>
      <c r="AG25" s="38" t="s">
        <v>175</v>
      </c>
      <c r="AH25" s="39">
        <f>+AG25+810</f>
        <v>43199</v>
      </c>
    </row>
    <row r="26" spans="2:34" s="3" customFormat="1" ht="25.2" customHeight="1" x14ac:dyDescent="0.4">
      <c r="B26" s="92"/>
      <c r="C26" s="691"/>
      <c r="D26" s="40"/>
      <c r="E26" s="40"/>
      <c r="F26" s="685"/>
      <c r="G26" s="692"/>
      <c r="H26" s="683"/>
      <c r="I26" s="657"/>
      <c r="J26" s="35"/>
      <c r="K26" s="36" t="s">
        <v>58</v>
      </c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690"/>
      <c r="AC26" s="34"/>
      <c r="AD26" s="689"/>
      <c r="AE26" s="34"/>
      <c r="AF26" s="34"/>
      <c r="AG26" s="38"/>
      <c r="AH26" s="41">
        <v>44742</v>
      </c>
    </row>
    <row r="27" spans="2:34" s="3" customFormat="1" ht="25.2" customHeight="1" x14ac:dyDescent="0.4">
      <c r="B27" s="92"/>
      <c r="C27" s="691"/>
      <c r="D27" s="42">
        <v>42184</v>
      </c>
      <c r="E27" s="42">
        <v>42187</v>
      </c>
      <c r="F27" s="685"/>
      <c r="G27" s="692"/>
      <c r="H27" s="683"/>
      <c r="I27" s="657"/>
      <c r="J27" s="43" t="s">
        <v>146</v>
      </c>
      <c r="K27" s="36" t="s">
        <v>36</v>
      </c>
      <c r="L27" s="33" t="s">
        <v>148</v>
      </c>
      <c r="M27" s="33" t="s">
        <v>149</v>
      </c>
      <c r="N27" s="33" t="s">
        <v>149</v>
      </c>
      <c r="O27" s="33" t="s">
        <v>151</v>
      </c>
      <c r="P27" s="33" t="s">
        <v>153</v>
      </c>
      <c r="Q27" s="33" t="s">
        <v>151</v>
      </c>
      <c r="R27" s="33" t="s">
        <v>153</v>
      </c>
      <c r="S27" s="33" t="s">
        <v>151</v>
      </c>
      <c r="T27" s="33" t="s">
        <v>155</v>
      </c>
      <c r="U27" s="33" t="s">
        <v>158</v>
      </c>
      <c r="V27" s="33" t="s">
        <v>160</v>
      </c>
      <c r="W27" s="33" t="s">
        <v>162</v>
      </c>
      <c r="X27" s="33" t="s">
        <v>164</v>
      </c>
      <c r="Y27" s="33" t="s">
        <v>166</v>
      </c>
      <c r="Z27" s="33" t="s">
        <v>168</v>
      </c>
      <c r="AA27" s="33" t="s">
        <v>166</v>
      </c>
      <c r="AB27" s="690"/>
      <c r="AC27" s="33" t="s">
        <v>168</v>
      </c>
      <c r="AD27" s="689"/>
      <c r="AE27" s="33" t="s">
        <v>171</v>
      </c>
      <c r="AF27" s="33" t="s">
        <v>172</v>
      </c>
      <c r="AG27" s="44" t="s">
        <v>176</v>
      </c>
      <c r="AH27" s="38"/>
    </row>
    <row r="28" spans="2:34" ht="25.2" customHeight="1" x14ac:dyDescent="0.4">
      <c r="B28" s="93"/>
      <c r="C28" s="96"/>
      <c r="D28" s="45"/>
      <c r="E28" s="45"/>
      <c r="F28" s="46"/>
      <c r="G28" s="45"/>
      <c r="H28" s="47"/>
      <c r="I28" s="46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78"/>
      <c r="AC28" s="45"/>
      <c r="AD28" s="78"/>
      <c r="AE28" s="45"/>
      <c r="AF28" s="45"/>
      <c r="AG28" s="45"/>
      <c r="AH28" s="45"/>
    </row>
    <row r="29" spans="2:34" s="3" customFormat="1" ht="25.2" customHeight="1" x14ac:dyDescent="0.4">
      <c r="B29" s="92"/>
      <c r="C29" s="691" t="s">
        <v>136</v>
      </c>
      <c r="D29" s="34" t="s">
        <v>177</v>
      </c>
      <c r="E29" s="34" t="s">
        <v>178</v>
      </c>
      <c r="F29" s="685" t="s">
        <v>253</v>
      </c>
      <c r="G29" s="692" t="s">
        <v>142</v>
      </c>
      <c r="H29" s="683">
        <v>300000</v>
      </c>
      <c r="I29" s="657" t="s">
        <v>114</v>
      </c>
      <c r="J29" s="34" t="s">
        <v>177</v>
      </c>
      <c r="K29" s="49" t="s">
        <v>0</v>
      </c>
      <c r="L29" s="34" t="s">
        <v>181</v>
      </c>
      <c r="M29" s="34" t="s">
        <v>183</v>
      </c>
      <c r="N29" s="34" t="s">
        <v>185</v>
      </c>
      <c r="O29" s="34" t="s">
        <v>186</v>
      </c>
      <c r="P29" s="34" t="s">
        <v>185</v>
      </c>
      <c r="Q29" s="34" t="s">
        <v>186</v>
      </c>
      <c r="R29" s="34" t="s">
        <v>185</v>
      </c>
      <c r="S29" s="34" t="s">
        <v>186</v>
      </c>
      <c r="T29" s="34" t="s">
        <v>189</v>
      </c>
      <c r="U29" s="34" t="s">
        <v>192</v>
      </c>
      <c r="V29" s="34" t="s">
        <v>194</v>
      </c>
      <c r="W29" s="37">
        <f xml:space="preserve"> V29+30</f>
        <v>42953</v>
      </c>
      <c r="X29" s="37">
        <f>W29+14</f>
        <v>42967</v>
      </c>
      <c r="Y29" s="37">
        <v>42984</v>
      </c>
      <c r="Z29" s="37">
        <f>Y29+30</f>
        <v>43014</v>
      </c>
      <c r="AA29" s="37">
        <f>Z29+8</f>
        <v>43022</v>
      </c>
      <c r="AB29" s="686">
        <v>117500000</v>
      </c>
      <c r="AC29" s="37">
        <f>AA29+30</f>
        <v>43052</v>
      </c>
      <c r="AD29" s="689">
        <v>117500000</v>
      </c>
      <c r="AE29" s="37">
        <f xml:space="preserve"> AC29+1</f>
        <v>43053</v>
      </c>
      <c r="AF29" s="37">
        <f>AE29+21</f>
        <v>43074</v>
      </c>
      <c r="AG29" s="39">
        <f>AF29+15</f>
        <v>43089</v>
      </c>
      <c r="AH29" s="39">
        <f xml:space="preserve"> AG29+450</f>
        <v>43539</v>
      </c>
    </row>
    <row r="30" spans="2:34" s="3" customFormat="1" ht="25.2" customHeight="1" x14ac:dyDescent="0.4">
      <c r="B30" s="92"/>
      <c r="C30" s="691"/>
      <c r="D30" s="34"/>
      <c r="E30" s="34"/>
      <c r="F30" s="685"/>
      <c r="G30" s="692"/>
      <c r="H30" s="683"/>
      <c r="I30" s="657"/>
      <c r="J30" s="34"/>
      <c r="K30" s="49" t="s">
        <v>58</v>
      </c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50"/>
      <c r="X30" s="50"/>
      <c r="Y30" s="50"/>
      <c r="Z30" s="50"/>
      <c r="AA30" s="50"/>
      <c r="AB30" s="687"/>
      <c r="AC30" s="50"/>
      <c r="AD30" s="689"/>
      <c r="AE30" s="50"/>
      <c r="AF30" s="50"/>
      <c r="AG30" s="41"/>
      <c r="AH30" s="41">
        <f>+AG31+450</f>
        <v>45127</v>
      </c>
    </row>
    <row r="31" spans="2:34" s="3" customFormat="1" ht="25.2" customHeight="1" x14ac:dyDescent="0.4">
      <c r="B31" s="92"/>
      <c r="C31" s="691"/>
      <c r="D31" s="33" t="s">
        <v>179</v>
      </c>
      <c r="E31" s="33" t="s">
        <v>180</v>
      </c>
      <c r="F31" s="685"/>
      <c r="G31" s="692"/>
      <c r="H31" s="683"/>
      <c r="I31" s="657"/>
      <c r="J31" s="33" t="s">
        <v>179</v>
      </c>
      <c r="K31" s="49" t="s">
        <v>36</v>
      </c>
      <c r="L31" s="33" t="s">
        <v>182</v>
      </c>
      <c r="M31" s="33" t="s">
        <v>184</v>
      </c>
      <c r="N31" s="33" t="s">
        <v>187</v>
      </c>
      <c r="O31" s="33" t="s">
        <v>188</v>
      </c>
      <c r="P31" s="33" t="s">
        <v>187</v>
      </c>
      <c r="Q31" s="33" t="s">
        <v>188</v>
      </c>
      <c r="R31" s="33" t="s">
        <v>187</v>
      </c>
      <c r="S31" s="33" t="s">
        <v>188</v>
      </c>
      <c r="T31" s="33" t="s">
        <v>190</v>
      </c>
      <c r="U31" s="33" t="s">
        <v>191</v>
      </c>
      <c r="V31" s="33" t="s">
        <v>193</v>
      </c>
      <c r="W31" s="51">
        <v>44498</v>
      </c>
      <c r="X31" s="51">
        <v>44510</v>
      </c>
      <c r="Y31" s="51">
        <v>44519</v>
      </c>
      <c r="Z31" s="51">
        <v>44545</v>
      </c>
      <c r="AA31" s="51">
        <v>44572</v>
      </c>
      <c r="AB31" s="688"/>
      <c r="AC31" s="51">
        <v>44599</v>
      </c>
      <c r="AD31" s="689"/>
      <c r="AE31" s="51">
        <v>44623</v>
      </c>
      <c r="AF31" s="51">
        <v>44657</v>
      </c>
      <c r="AG31" s="52">
        <v>44677</v>
      </c>
      <c r="AH31" s="39"/>
    </row>
    <row r="32" spans="2:34" ht="25.2" customHeight="1" x14ac:dyDescent="0.4">
      <c r="B32" s="93"/>
      <c r="C32" s="96"/>
      <c r="D32" s="45"/>
      <c r="E32" s="45"/>
      <c r="F32" s="46"/>
      <c r="G32" s="45"/>
      <c r="H32" s="47"/>
      <c r="I32" s="46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78"/>
      <c r="AC32" s="45"/>
      <c r="AD32" s="78"/>
      <c r="AE32" s="45"/>
      <c r="AF32" s="45"/>
      <c r="AG32" s="45"/>
      <c r="AH32" s="45"/>
    </row>
    <row r="33" spans="2:34" s="3" customFormat="1" ht="25.2" customHeight="1" x14ac:dyDescent="0.4">
      <c r="B33" s="92"/>
      <c r="C33" s="691" t="s">
        <v>137</v>
      </c>
      <c r="D33" s="657" t="s">
        <v>195</v>
      </c>
      <c r="E33" s="657" t="s">
        <v>195</v>
      </c>
      <c r="F33" s="684" t="s">
        <v>141</v>
      </c>
      <c r="G33" s="657" t="s">
        <v>143</v>
      </c>
      <c r="H33" s="683">
        <v>276938</v>
      </c>
      <c r="I33" s="657" t="s">
        <v>114</v>
      </c>
      <c r="J33" s="657" t="s">
        <v>195</v>
      </c>
      <c r="K33" s="36" t="s">
        <v>0</v>
      </c>
      <c r="L33" s="657" t="s">
        <v>195</v>
      </c>
      <c r="M33" s="657" t="s">
        <v>195</v>
      </c>
      <c r="N33" s="657" t="s">
        <v>195</v>
      </c>
      <c r="O33" s="657" t="s">
        <v>195</v>
      </c>
      <c r="P33" s="34" t="s">
        <v>196</v>
      </c>
      <c r="Q33" s="34" t="s">
        <v>198</v>
      </c>
      <c r="R33" s="666"/>
      <c r="S33" s="667"/>
      <c r="T33" s="666"/>
      <c r="U33" s="668"/>
      <c r="V33" s="668"/>
      <c r="W33" s="668"/>
      <c r="X33" s="668"/>
      <c r="Y33" s="668"/>
      <c r="Z33" s="667"/>
      <c r="AA33" s="37">
        <v>42879</v>
      </c>
      <c r="AB33" s="656">
        <v>288364300</v>
      </c>
      <c r="AC33" s="37">
        <v>42892</v>
      </c>
      <c r="AD33" s="679">
        <v>288364300</v>
      </c>
      <c r="AE33" s="34" t="s">
        <v>202</v>
      </c>
      <c r="AF33" s="37">
        <f>+ AE33+21</f>
        <v>42914</v>
      </c>
      <c r="AG33" s="38" t="s">
        <v>203</v>
      </c>
      <c r="AH33" s="39">
        <f>+AG33+365</f>
        <v>43323</v>
      </c>
    </row>
    <row r="34" spans="2:34" s="3" customFormat="1" ht="25.2" customHeight="1" x14ac:dyDescent="0.4">
      <c r="B34" s="92"/>
      <c r="C34" s="691"/>
      <c r="D34" s="657"/>
      <c r="E34" s="657"/>
      <c r="F34" s="684"/>
      <c r="G34" s="657"/>
      <c r="H34" s="683"/>
      <c r="I34" s="657"/>
      <c r="J34" s="657"/>
      <c r="K34" s="36" t="s">
        <v>58</v>
      </c>
      <c r="L34" s="657"/>
      <c r="M34" s="657"/>
      <c r="N34" s="657"/>
      <c r="O34" s="657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656"/>
      <c r="AC34" s="34"/>
      <c r="AD34" s="679"/>
      <c r="AE34" s="34"/>
      <c r="AF34" s="34"/>
      <c r="AG34" s="38"/>
      <c r="AH34" s="38"/>
    </row>
    <row r="35" spans="2:34" s="3" customFormat="1" ht="25.2" customHeight="1" x14ac:dyDescent="0.4">
      <c r="B35" s="92"/>
      <c r="C35" s="691"/>
      <c r="D35" s="657"/>
      <c r="E35" s="657"/>
      <c r="F35" s="684"/>
      <c r="G35" s="657"/>
      <c r="H35" s="683"/>
      <c r="I35" s="657"/>
      <c r="J35" s="657"/>
      <c r="K35" s="36" t="s">
        <v>36</v>
      </c>
      <c r="L35" s="657"/>
      <c r="M35" s="657"/>
      <c r="N35" s="657"/>
      <c r="O35" s="657"/>
      <c r="P35" s="33" t="s">
        <v>197</v>
      </c>
      <c r="Q35" s="33" t="s">
        <v>199</v>
      </c>
      <c r="R35" s="666"/>
      <c r="S35" s="667"/>
      <c r="T35" s="666"/>
      <c r="U35" s="668"/>
      <c r="V35" s="668"/>
      <c r="W35" s="668"/>
      <c r="X35" s="668"/>
      <c r="Y35" s="668"/>
      <c r="Z35" s="667"/>
      <c r="AA35" s="33" t="s">
        <v>197</v>
      </c>
      <c r="AB35" s="656"/>
      <c r="AC35" s="33" t="s">
        <v>199</v>
      </c>
      <c r="AD35" s="679"/>
      <c r="AE35" s="33" t="s">
        <v>200</v>
      </c>
      <c r="AF35" s="33" t="s">
        <v>201</v>
      </c>
      <c r="AG35" s="44" t="s">
        <v>204</v>
      </c>
      <c r="AH35" s="44" t="s">
        <v>205</v>
      </c>
    </row>
    <row r="36" spans="2:34" ht="25.2" customHeight="1" x14ac:dyDescent="0.4">
      <c r="B36" s="93"/>
      <c r="C36" s="96"/>
      <c r="D36" s="45"/>
      <c r="E36" s="45"/>
      <c r="F36" s="46"/>
      <c r="G36" s="45"/>
      <c r="H36" s="46"/>
      <c r="I36" s="46"/>
      <c r="J36" s="45"/>
      <c r="K36" s="53"/>
      <c r="L36" s="46"/>
      <c r="M36" s="46"/>
      <c r="N36" s="46"/>
      <c r="O36" s="46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78"/>
      <c r="AC36" s="45"/>
      <c r="AD36" s="78"/>
      <c r="AE36" s="45"/>
      <c r="AF36" s="45"/>
      <c r="AG36" s="45"/>
      <c r="AH36" s="45"/>
    </row>
    <row r="37" spans="2:34" s="3" customFormat="1" ht="25.2" customHeight="1" x14ac:dyDescent="0.4">
      <c r="B37" s="92"/>
      <c r="C37" s="691" t="s">
        <v>138</v>
      </c>
      <c r="D37" s="657" t="s">
        <v>195</v>
      </c>
      <c r="E37" s="657" t="s">
        <v>195</v>
      </c>
      <c r="F37" s="684" t="s">
        <v>141</v>
      </c>
      <c r="G37" s="657" t="s">
        <v>143</v>
      </c>
      <c r="H37" s="683">
        <v>75000</v>
      </c>
      <c r="I37" s="657" t="s">
        <v>114</v>
      </c>
      <c r="J37" s="657" t="s">
        <v>195</v>
      </c>
      <c r="K37" s="36" t="s">
        <v>0</v>
      </c>
      <c r="L37" s="657" t="s">
        <v>195</v>
      </c>
      <c r="M37" s="657" t="s">
        <v>195</v>
      </c>
      <c r="N37" s="657" t="s">
        <v>195</v>
      </c>
      <c r="O37" s="657" t="s">
        <v>195</v>
      </c>
      <c r="P37" s="34" t="s">
        <v>196</v>
      </c>
      <c r="Q37" s="34" t="s">
        <v>198</v>
      </c>
      <c r="R37" s="666"/>
      <c r="S37" s="667"/>
      <c r="T37" s="666"/>
      <c r="U37" s="668"/>
      <c r="V37" s="668"/>
      <c r="W37" s="668"/>
      <c r="X37" s="668"/>
      <c r="Y37" s="668"/>
      <c r="Z37" s="667"/>
      <c r="AA37" s="37">
        <v>42879</v>
      </c>
      <c r="AB37" s="656">
        <v>40887000</v>
      </c>
      <c r="AC37" s="37">
        <v>42892</v>
      </c>
      <c r="AD37" s="679">
        <v>40887000</v>
      </c>
      <c r="AE37" s="34" t="s">
        <v>202</v>
      </c>
      <c r="AF37" s="37">
        <f>+ AE37+21</f>
        <v>42914</v>
      </c>
      <c r="AG37" s="38" t="s">
        <v>203</v>
      </c>
      <c r="AH37" s="39">
        <f>+ AG37+50</f>
        <v>43008</v>
      </c>
    </row>
    <row r="38" spans="2:34" s="3" customFormat="1" ht="25.2" customHeight="1" x14ac:dyDescent="0.4">
      <c r="B38" s="92"/>
      <c r="C38" s="691"/>
      <c r="D38" s="657"/>
      <c r="E38" s="657"/>
      <c r="F38" s="684"/>
      <c r="G38" s="657"/>
      <c r="H38" s="683"/>
      <c r="I38" s="657"/>
      <c r="J38" s="657"/>
      <c r="K38" s="36" t="s">
        <v>58</v>
      </c>
      <c r="L38" s="657"/>
      <c r="M38" s="657"/>
      <c r="N38" s="657"/>
      <c r="O38" s="657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656"/>
      <c r="AC38" s="34"/>
      <c r="AD38" s="679"/>
      <c r="AE38" s="34"/>
      <c r="AF38" s="34"/>
      <c r="AG38" s="38"/>
      <c r="AH38" s="54"/>
    </row>
    <row r="39" spans="2:34" s="3" customFormat="1" ht="25.2" customHeight="1" x14ac:dyDescent="0.4">
      <c r="B39" s="92"/>
      <c r="C39" s="691"/>
      <c r="D39" s="657"/>
      <c r="E39" s="657"/>
      <c r="F39" s="684"/>
      <c r="G39" s="657"/>
      <c r="H39" s="683"/>
      <c r="I39" s="657"/>
      <c r="J39" s="657"/>
      <c r="K39" s="36" t="s">
        <v>36</v>
      </c>
      <c r="L39" s="657"/>
      <c r="M39" s="657"/>
      <c r="N39" s="657"/>
      <c r="O39" s="657"/>
      <c r="P39" s="33" t="s">
        <v>197</v>
      </c>
      <c r="Q39" s="33" t="s">
        <v>199</v>
      </c>
      <c r="R39" s="666"/>
      <c r="S39" s="667"/>
      <c r="T39" s="666"/>
      <c r="U39" s="668"/>
      <c r="V39" s="668"/>
      <c r="W39" s="668"/>
      <c r="X39" s="668"/>
      <c r="Y39" s="668"/>
      <c r="Z39" s="667"/>
      <c r="AA39" s="33" t="s">
        <v>197</v>
      </c>
      <c r="AB39" s="656"/>
      <c r="AC39" s="33" t="s">
        <v>199</v>
      </c>
      <c r="AD39" s="679"/>
      <c r="AE39" s="33" t="s">
        <v>200</v>
      </c>
      <c r="AF39" s="33" t="s">
        <v>201</v>
      </c>
      <c r="AG39" s="44" t="s">
        <v>206</v>
      </c>
      <c r="AH39" s="52">
        <v>43777</v>
      </c>
    </row>
    <row r="40" spans="2:34" s="3" customFormat="1" ht="25.2" customHeight="1" x14ac:dyDescent="0.4">
      <c r="B40" s="92"/>
      <c r="C40" s="96"/>
      <c r="D40" s="45"/>
      <c r="E40" s="45"/>
      <c r="F40" s="46"/>
      <c r="G40" s="45"/>
      <c r="H40" s="46"/>
      <c r="I40" s="46"/>
      <c r="J40" s="45"/>
      <c r="K40" s="53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78"/>
      <c r="AC40" s="45"/>
      <c r="AD40" s="78"/>
      <c r="AE40" s="45"/>
      <c r="AF40" s="45"/>
      <c r="AG40" s="45"/>
      <c r="AH40" s="45"/>
    </row>
    <row r="41" spans="2:34" s="3" customFormat="1" ht="25.2" customHeight="1" x14ac:dyDescent="0.4">
      <c r="B41" s="92"/>
      <c r="C41" s="691" t="s">
        <v>139</v>
      </c>
      <c r="D41" s="34" t="s">
        <v>209</v>
      </c>
      <c r="E41" s="34" t="s">
        <v>178</v>
      </c>
      <c r="F41" s="685" t="s">
        <v>254</v>
      </c>
      <c r="G41" s="657" t="s">
        <v>143</v>
      </c>
      <c r="H41" s="683">
        <v>70000</v>
      </c>
      <c r="I41" s="657" t="s">
        <v>114</v>
      </c>
      <c r="J41" s="34" t="s">
        <v>209</v>
      </c>
      <c r="K41" s="36" t="s">
        <v>0</v>
      </c>
      <c r="L41" s="55" t="s">
        <v>181</v>
      </c>
      <c r="M41" s="55" t="s">
        <v>213</v>
      </c>
      <c r="N41" s="34" t="s">
        <v>214</v>
      </c>
      <c r="O41" s="34" t="s">
        <v>216</v>
      </c>
      <c r="P41" s="34" t="s">
        <v>214</v>
      </c>
      <c r="Q41" s="34" t="s">
        <v>216</v>
      </c>
      <c r="R41" s="34" t="s">
        <v>214</v>
      </c>
      <c r="S41" s="34" t="s">
        <v>216</v>
      </c>
      <c r="T41" s="34" t="s">
        <v>218</v>
      </c>
      <c r="U41" s="34" t="s">
        <v>220</v>
      </c>
      <c r="V41" s="34" t="s">
        <v>222</v>
      </c>
      <c r="W41" s="34" t="s">
        <v>224</v>
      </c>
      <c r="X41" s="34" t="s">
        <v>215</v>
      </c>
      <c r="Y41" s="34" t="s">
        <v>227</v>
      </c>
      <c r="Z41" s="34" t="s">
        <v>229</v>
      </c>
      <c r="AA41" s="34" t="s">
        <v>227</v>
      </c>
      <c r="AB41" s="656">
        <v>10047800</v>
      </c>
      <c r="AC41" s="34" t="s">
        <v>229</v>
      </c>
      <c r="AD41" s="679">
        <v>10047800</v>
      </c>
      <c r="AE41" s="34" t="s">
        <v>231</v>
      </c>
      <c r="AF41" s="37">
        <f>+ AE41+21</f>
        <v>43046</v>
      </c>
      <c r="AG41" s="38" t="s">
        <v>234</v>
      </c>
      <c r="AH41" s="39">
        <f>+ AG41+600</f>
        <v>43670</v>
      </c>
    </row>
    <row r="42" spans="2:34" s="3" customFormat="1" ht="25.2" customHeight="1" x14ac:dyDescent="0.4">
      <c r="B42" s="92"/>
      <c r="C42" s="691"/>
      <c r="D42" s="34"/>
      <c r="E42" s="34"/>
      <c r="F42" s="685"/>
      <c r="G42" s="657"/>
      <c r="H42" s="683"/>
      <c r="I42" s="657"/>
      <c r="J42" s="34"/>
      <c r="K42" s="36" t="s">
        <v>58</v>
      </c>
      <c r="L42" s="55"/>
      <c r="M42" s="55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656"/>
      <c r="AC42" s="34"/>
      <c r="AD42" s="679"/>
      <c r="AE42" s="34"/>
      <c r="AF42" s="34"/>
      <c r="AG42" s="38"/>
      <c r="AH42" s="41"/>
    </row>
    <row r="43" spans="2:34" s="3" customFormat="1" ht="25.2" customHeight="1" x14ac:dyDescent="0.4">
      <c r="B43" s="92"/>
      <c r="C43" s="691"/>
      <c r="D43" s="33" t="s">
        <v>210</v>
      </c>
      <c r="E43" s="33" t="s">
        <v>211</v>
      </c>
      <c r="F43" s="685"/>
      <c r="G43" s="657"/>
      <c r="H43" s="683"/>
      <c r="I43" s="657"/>
      <c r="J43" s="33" t="s">
        <v>210</v>
      </c>
      <c r="K43" s="36" t="s">
        <v>36</v>
      </c>
      <c r="L43" s="55" t="s">
        <v>212</v>
      </c>
      <c r="M43" s="55" t="s">
        <v>192</v>
      </c>
      <c r="N43" s="33" t="s">
        <v>215</v>
      </c>
      <c r="O43" s="33" t="s">
        <v>217</v>
      </c>
      <c r="P43" s="33" t="s">
        <v>215</v>
      </c>
      <c r="Q43" s="33" t="s">
        <v>217</v>
      </c>
      <c r="R43" s="33" t="s">
        <v>215</v>
      </c>
      <c r="S43" s="33" t="s">
        <v>217</v>
      </c>
      <c r="T43" s="33" t="s">
        <v>219</v>
      </c>
      <c r="U43" s="33" t="s">
        <v>221</v>
      </c>
      <c r="V43" s="33" t="s">
        <v>223</v>
      </c>
      <c r="W43" s="33" t="s">
        <v>225</v>
      </c>
      <c r="X43" s="33" t="s">
        <v>226</v>
      </c>
      <c r="Y43" s="33" t="s">
        <v>228</v>
      </c>
      <c r="Z43" s="33" t="s">
        <v>230</v>
      </c>
      <c r="AA43" s="33" t="s">
        <v>228</v>
      </c>
      <c r="AB43" s="656"/>
      <c r="AC43" s="33" t="s">
        <v>230</v>
      </c>
      <c r="AD43" s="679"/>
      <c r="AE43" s="33" t="s">
        <v>232</v>
      </c>
      <c r="AF43" s="33" t="s">
        <v>233</v>
      </c>
      <c r="AG43" s="44" t="s">
        <v>235</v>
      </c>
      <c r="AH43" s="52" t="s">
        <v>239</v>
      </c>
    </row>
    <row r="44" spans="2:34" s="3" customFormat="1" ht="25.2" customHeight="1" x14ac:dyDescent="0.4">
      <c r="B44" s="92"/>
      <c r="C44" s="96"/>
      <c r="D44" s="45"/>
      <c r="E44" s="45"/>
      <c r="F44" s="46"/>
      <c r="G44" s="45"/>
      <c r="H44" s="46"/>
      <c r="I44" s="46"/>
      <c r="J44" s="45"/>
      <c r="K44" s="53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78"/>
      <c r="AC44" s="45"/>
      <c r="AD44" s="78"/>
      <c r="AE44" s="45"/>
      <c r="AF44" s="45"/>
      <c r="AG44" s="45"/>
      <c r="AH44" s="45"/>
    </row>
    <row r="45" spans="2:34" s="3" customFormat="1" ht="25.2" customHeight="1" x14ac:dyDescent="0.4">
      <c r="B45" s="92"/>
      <c r="C45" s="691" t="s">
        <v>140</v>
      </c>
      <c r="D45" s="657" t="s">
        <v>195</v>
      </c>
      <c r="E45" s="657" t="s">
        <v>195</v>
      </c>
      <c r="F45" s="685" t="s">
        <v>254</v>
      </c>
      <c r="G45" s="657" t="s">
        <v>143</v>
      </c>
      <c r="H45" s="683">
        <v>10000</v>
      </c>
      <c r="I45" s="657" t="s">
        <v>144</v>
      </c>
      <c r="J45" s="40"/>
      <c r="K45" s="36" t="s">
        <v>0</v>
      </c>
      <c r="L45" s="56" t="s">
        <v>195</v>
      </c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650"/>
      <c r="AC45" s="57"/>
      <c r="AD45" s="653"/>
      <c r="AE45" s="57"/>
      <c r="AF45" s="57"/>
      <c r="AG45" s="58"/>
      <c r="AH45" s="59"/>
    </row>
    <row r="46" spans="2:34" s="3" customFormat="1" ht="25.2" customHeight="1" x14ac:dyDescent="0.4">
      <c r="B46" s="92"/>
      <c r="C46" s="691"/>
      <c r="D46" s="657"/>
      <c r="E46" s="657"/>
      <c r="F46" s="685"/>
      <c r="G46" s="657"/>
      <c r="H46" s="683"/>
      <c r="I46" s="657"/>
      <c r="J46" s="40"/>
      <c r="K46" s="36" t="s">
        <v>58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651"/>
      <c r="AC46" s="57"/>
      <c r="AD46" s="654"/>
      <c r="AE46" s="57"/>
      <c r="AF46" s="57"/>
      <c r="AG46" s="58"/>
      <c r="AH46" s="59"/>
    </row>
    <row r="47" spans="2:34" s="3" customFormat="1" ht="25.2" customHeight="1" x14ac:dyDescent="0.4">
      <c r="B47" s="92"/>
      <c r="C47" s="691"/>
      <c r="D47" s="657"/>
      <c r="E47" s="657"/>
      <c r="F47" s="685"/>
      <c r="G47" s="657"/>
      <c r="H47" s="683"/>
      <c r="I47" s="657"/>
      <c r="J47" s="40"/>
      <c r="K47" s="36" t="s">
        <v>36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652"/>
      <c r="AC47" s="57"/>
      <c r="AD47" s="655"/>
      <c r="AE47" s="57"/>
      <c r="AF47" s="57"/>
      <c r="AG47" s="55" t="s">
        <v>207</v>
      </c>
      <c r="AH47" s="55" t="s">
        <v>208</v>
      </c>
    </row>
    <row r="48" spans="2:34" ht="25.2" customHeight="1" x14ac:dyDescent="0.4">
      <c r="B48" s="93"/>
      <c r="C48" s="96"/>
      <c r="D48" s="45"/>
      <c r="E48" s="45"/>
      <c r="F48" s="45"/>
      <c r="G48" s="45"/>
      <c r="H48" s="48"/>
      <c r="I48" s="45"/>
      <c r="J48" s="45"/>
      <c r="K48" s="45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79"/>
      <c r="AC48" s="60"/>
      <c r="AD48" s="79"/>
      <c r="AE48" s="60"/>
      <c r="AF48" s="60"/>
      <c r="AG48" s="60"/>
      <c r="AH48" s="60"/>
    </row>
    <row r="49" spans="2:34" ht="25.2" customHeight="1" x14ac:dyDescent="0.4">
      <c r="B49" s="93"/>
      <c r="C49" s="691" t="s">
        <v>241</v>
      </c>
      <c r="D49" s="658" t="s">
        <v>195</v>
      </c>
      <c r="E49" s="659"/>
      <c r="F49" s="684" t="s">
        <v>141</v>
      </c>
      <c r="G49" s="657" t="s">
        <v>143</v>
      </c>
      <c r="H49" s="683">
        <v>6000</v>
      </c>
      <c r="I49" s="657" t="s">
        <v>114</v>
      </c>
      <c r="J49" s="669" t="s">
        <v>195</v>
      </c>
      <c r="K49" s="61" t="s">
        <v>0</v>
      </c>
      <c r="L49" s="672" t="s">
        <v>195</v>
      </c>
      <c r="M49" s="673"/>
      <c r="N49" s="673"/>
      <c r="O49" s="673"/>
      <c r="P49" s="57"/>
      <c r="Q49" s="82">
        <f>P51+30</f>
        <v>44612</v>
      </c>
      <c r="R49" s="80" t="s">
        <v>195</v>
      </c>
      <c r="S49" s="80" t="s">
        <v>195</v>
      </c>
      <c r="T49" s="80">
        <v>44613</v>
      </c>
      <c r="U49" s="680" t="s">
        <v>195</v>
      </c>
      <c r="V49" s="681"/>
      <c r="W49" s="681"/>
      <c r="X49" s="681"/>
      <c r="Y49" s="681"/>
      <c r="Z49" s="682"/>
      <c r="AA49" s="80">
        <f>+T49+15</f>
        <v>44628</v>
      </c>
      <c r="AB49" s="678">
        <v>3137500</v>
      </c>
      <c r="AC49" s="80">
        <f>+AA49+30</f>
        <v>44658</v>
      </c>
      <c r="AD49" s="649">
        <v>3137500</v>
      </c>
      <c r="AE49" s="80">
        <f>+AC49+5</f>
        <v>44663</v>
      </c>
      <c r="AF49" s="80">
        <f>+AE49+2</f>
        <v>44665</v>
      </c>
      <c r="AG49" s="80">
        <f>AF49+15</f>
        <v>44680</v>
      </c>
      <c r="AH49" s="104">
        <f>AG49+30</f>
        <v>44710</v>
      </c>
    </row>
    <row r="50" spans="2:34" ht="25.2" customHeight="1" x14ac:dyDescent="0.4">
      <c r="B50" s="93"/>
      <c r="C50" s="691"/>
      <c r="D50" s="660"/>
      <c r="E50" s="661"/>
      <c r="F50" s="684"/>
      <c r="G50" s="657"/>
      <c r="H50" s="683"/>
      <c r="I50" s="657"/>
      <c r="J50" s="670"/>
      <c r="K50" s="61" t="s">
        <v>58</v>
      </c>
      <c r="L50" s="674"/>
      <c r="M50" s="675"/>
      <c r="N50" s="675"/>
      <c r="O50" s="675"/>
      <c r="P50" s="62"/>
      <c r="Q50" s="63"/>
      <c r="R50" s="64"/>
      <c r="S50" s="64"/>
      <c r="T50" s="65"/>
      <c r="U50" s="65"/>
      <c r="V50" s="65"/>
      <c r="W50" s="65"/>
      <c r="X50" s="65"/>
      <c r="Y50" s="65"/>
      <c r="Z50" s="65"/>
      <c r="AA50" s="66"/>
      <c r="AB50" s="678"/>
      <c r="AC50" s="66"/>
      <c r="AD50" s="649"/>
      <c r="AE50" s="67">
        <f>AC51+15</f>
        <v>44692</v>
      </c>
      <c r="AF50" s="67">
        <f>+AE50+1</f>
        <v>44693</v>
      </c>
      <c r="AG50" s="67">
        <f>+AF50+15</f>
        <v>44708</v>
      </c>
      <c r="AH50" s="68">
        <f>+AG50+30</f>
        <v>44738</v>
      </c>
    </row>
    <row r="51" spans="2:34" ht="25.2" customHeight="1" x14ac:dyDescent="0.4">
      <c r="B51" s="93"/>
      <c r="C51" s="691"/>
      <c r="D51" s="662"/>
      <c r="E51" s="663"/>
      <c r="F51" s="684"/>
      <c r="G51" s="657"/>
      <c r="H51" s="683"/>
      <c r="I51" s="657"/>
      <c r="J51" s="671"/>
      <c r="K51" s="61" t="s">
        <v>36</v>
      </c>
      <c r="L51" s="676"/>
      <c r="M51" s="677"/>
      <c r="N51" s="677"/>
      <c r="O51" s="677"/>
      <c r="P51" s="83" t="s">
        <v>243</v>
      </c>
      <c r="Q51" s="76">
        <v>44585</v>
      </c>
      <c r="R51" s="80" t="s">
        <v>195</v>
      </c>
      <c r="S51" s="80" t="s">
        <v>195</v>
      </c>
      <c r="T51" s="76">
        <v>44582</v>
      </c>
      <c r="U51" s="76">
        <v>44607</v>
      </c>
      <c r="V51" s="664"/>
      <c r="W51" s="664"/>
      <c r="X51" s="664"/>
      <c r="Y51" s="664"/>
      <c r="Z51" s="665"/>
      <c r="AA51" s="74">
        <v>44617</v>
      </c>
      <c r="AB51" s="678"/>
      <c r="AC51" s="74">
        <v>44677</v>
      </c>
      <c r="AD51" s="649"/>
      <c r="AE51" s="65"/>
      <c r="AF51" s="65"/>
      <c r="AG51" s="65"/>
      <c r="AH51" s="105"/>
    </row>
    <row r="52" spans="2:34" ht="25.2" customHeight="1" x14ac:dyDescent="0.4">
      <c r="B52" s="93"/>
      <c r="C52" s="97"/>
      <c r="D52" s="60"/>
      <c r="E52" s="60"/>
      <c r="F52" s="60"/>
      <c r="G52" s="60"/>
      <c r="H52" s="60"/>
      <c r="I52" s="60"/>
      <c r="J52" s="60"/>
      <c r="K52" s="60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103"/>
      <c r="AC52" s="81"/>
      <c r="AD52" s="103"/>
      <c r="AE52" s="81"/>
      <c r="AF52" s="81"/>
      <c r="AG52" s="81"/>
      <c r="AH52" s="81"/>
    </row>
    <row r="53" spans="2:34" s="3" customFormat="1" ht="25.2" customHeight="1" x14ac:dyDescent="0.4">
      <c r="B53" s="92"/>
      <c r="C53" s="691" t="s">
        <v>242</v>
      </c>
      <c r="D53" s="658" t="s">
        <v>195</v>
      </c>
      <c r="E53" s="659"/>
      <c r="F53" s="685" t="s">
        <v>254</v>
      </c>
      <c r="G53" s="657" t="s">
        <v>143</v>
      </c>
      <c r="H53" s="683">
        <v>18000</v>
      </c>
      <c r="I53" s="657" t="s">
        <v>114</v>
      </c>
      <c r="J53" s="669" t="s">
        <v>195</v>
      </c>
      <c r="K53" s="36" t="s">
        <v>0</v>
      </c>
      <c r="L53" s="69">
        <v>44703</v>
      </c>
      <c r="M53" s="69">
        <f>+L53+15</f>
        <v>44718</v>
      </c>
      <c r="N53" s="69">
        <f>+M53+9</f>
        <v>44727</v>
      </c>
      <c r="O53" s="69">
        <f>N53+30+2</f>
        <v>44759</v>
      </c>
      <c r="P53" s="69">
        <v>44727</v>
      </c>
      <c r="Q53" s="69">
        <f>P53+30+2</f>
        <v>44759</v>
      </c>
      <c r="R53" s="70">
        <v>44727</v>
      </c>
      <c r="S53" s="70">
        <f>Q53</f>
        <v>44759</v>
      </c>
      <c r="T53" s="70">
        <f>S53+8</f>
        <v>44767</v>
      </c>
      <c r="U53" s="70">
        <f>T53+30</f>
        <v>44797</v>
      </c>
      <c r="V53" s="70">
        <v>44818</v>
      </c>
      <c r="W53" s="70">
        <f>V53+30+2</f>
        <v>44850</v>
      </c>
      <c r="X53" s="70">
        <f>W53+14</f>
        <v>44864</v>
      </c>
      <c r="Y53" s="70">
        <v>44885</v>
      </c>
      <c r="Z53" s="70">
        <f>Y53+30</f>
        <v>44915</v>
      </c>
      <c r="AA53" s="71">
        <f>Z53+8</f>
        <v>44923</v>
      </c>
      <c r="AB53" s="645">
        <v>7509000</v>
      </c>
      <c r="AC53" s="71">
        <f>AA53+30</f>
        <v>44953</v>
      </c>
      <c r="AD53" s="647">
        <v>7509000</v>
      </c>
      <c r="AE53" s="71">
        <f>AC53+3</f>
        <v>44956</v>
      </c>
      <c r="AF53" s="71">
        <f>+AE53+3</f>
        <v>44959</v>
      </c>
      <c r="AG53" s="71">
        <f>AF53+15</f>
        <v>44974</v>
      </c>
      <c r="AH53" s="72">
        <v>45657</v>
      </c>
    </row>
    <row r="54" spans="2:34" ht="25.2" customHeight="1" x14ac:dyDescent="0.4">
      <c r="C54" s="691"/>
      <c r="D54" s="660"/>
      <c r="E54" s="661"/>
      <c r="F54" s="685"/>
      <c r="G54" s="657"/>
      <c r="H54" s="683"/>
      <c r="I54" s="657"/>
      <c r="J54" s="670"/>
      <c r="K54" s="36" t="s">
        <v>58</v>
      </c>
      <c r="L54" s="73"/>
      <c r="M54" s="73"/>
      <c r="N54" s="73"/>
      <c r="O54" s="67">
        <f>N55+30+45+45+52</f>
        <v>45012</v>
      </c>
      <c r="P54" s="67">
        <v>44984</v>
      </c>
      <c r="Q54" s="67">
        <f>+P54+30</f>
        <v>45014</v>
      </c>
      <c r="R54" s="67"/>
      <c r="S54" s="67"/>
      <c r="T54" s="67"/>
      <c r="U54" s="67"/>
      <c r="V54" s="67"/>
      <c r="W54" s="67"/>
      <c r="X54" s="67">
        <v>45147</v>
      </c>
      <c r="Y54" s="67">
        <v>45152</v>
      </c>
      <c r="Z54" s="67">
        <f>+Y54+30</f>
        <v>45182</v>
      </c>
      <c r="AA54" s="67">
        <f>+Z54+8</f>
        <v>45190</v>
      </c>
      <c r="AB54" s="645"/>
      <c r="AC54" s="67">
        <f>+AA54+30+3</f>
        <v>45223</v>
      </c>
      <c r="AD54" s="647"/>
      <c r="AE54" s="67">
        <f>+AC54+3</f>
        <v>45226</v>
      </c>
      <c r="AF54" s="67">
        <f>+AE54+6</f>
        <v>45232</v>
      </c>
      <c r="AG54" s="67">
        <f>+AF54+15</f>
        <v>45247</v>
      </c>
      <c r="AH54" s="67">
        <v>45657</v>
      </c>
    </row>
    <row r="55" spans="2:34" ht="25.2" customHeight="1" x14ac:dyDescent="0.4">
      <c r="C55" s="691"/>
      <c r="D55" s="662"/>
      <c r="E55" s="663"/>
      <c r="F55" s="685"/>
      <c r="G55" s="657"/>
      <c r="H55" s="683"/>
      <c r="I55" s="657"/>
      <c r="J55" s="671"/>
      <c r="K55" s="36" t="s">
        <v>36</v>
      </c>
      <c r="L55" s="74">
        <v>44761</v>
      </c>
      <c r="M55" s="74">
        <v>44776</v>
      </c>
      <c r="N55" s="74">
        <v>44840</v>
      </c>
      <c r="O55" s="73"/>
      <c r="P55" s="75"/>
      <c r="Q55" s="64"/>
      <c r="R55" s="74">
        <v>44984</v>
      </c>
      <c r="S55" s="74">
        <v>45014</v>
      </c>
      <c r="T55" s="74">
        <v>45021</v>
      </c>
      <c r="U55" s="74">
        <v>45050</v>
      </c>
      <c r="V55" s="76">
        <v>45099</v>
      </c>
      <c r="W55" s="76">
        <v>45128</v>
      </c>
      <c r="X55" s="76">
        <v>45147</v>
      </c>
      <c r="Y55" s="76">
        <v>45173</v>
      </c>
      <c r="Z55" s="76">
        <v>45197</v>
      </c>
      <c r="AA55" s="76">
        <v>45257</v>
      </c>
      <c r="AB55" s="646"/>
      <c r="AC55" s="76">
        <v>45269</v>
      </c>
      <c r="AD55" s="648"/>
      <c r="AE55" s="76">
        <v>45279</v>
      </c>
      <c r="AF55" s="76">
        <v>45280</v>
      </c>
      <c r="AG55" s="64"/>
      <c r="AH55" s="64"/>
    </row>
    <row r="56" spans="2:34" ht="25.2" customHeight="1" x14ac:dyDescent="0.4">
      <c r="C56" s="97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79"/>
      <c r="AC56" s="60"/>
      <c r="AD56" s="79"/>
      <c r="AE56" s="60"/>
      <c r="AF56" s="60"/>
      <c r="AG56" s="60"/>
      <c r="AH56" s="60"/>
    </row>
    <row r="57" spans="2:34" ht="25.2" customHeight="1" x14ac:dyDescent="0.4">
      <c r="C57" s="98" t="s">
        <v>72</v>
      </c>
      <c r="D57" s="53"/>
      <c r="E57" s="53"/>
      <c r="F57" s="53"/>
      <c r="G57" s="53"/>
      <c r="H57" s="23">
        <f>SUM(H25:H56)</f>
        <v>1240837</v>
      </c>
      <c r="I57" s="53"/>
      <c r="J57" s="53"/>
      <c r="K57" s="77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322">
        <f>SUM(AB25:AB56)</f>
        <v>670749013</v>
      </c>
      <c r="AC57" s="53"/>
      <c r="AD57" s="322">
        <f>SUM(AD25:AD56)</f>
        <v>670749013</v>
      </c>
      <c r="AE57" s="53"/>
      <c r="AF57" s="53"/>
      <c r="AG57" s="53"/>
      <c r="AH57" s="53"/>
    </row>
    <row r="58" spans="2:34" ht="9.6" customHeight="1" x14ac:dyDescent="0.4">
      <c r="C58" s="11" t="s">
        <v>73</v>
      </c>
    </row>
  </sheetData>
  <mergeCells count="107">
    <mergeCell ref="C2:U2"/>
    <mergeCell ref="C45:C47"/>
    <mergeCell ref="C37:C39"/>
    <mergeCell ref="C41:C43"/>
    <mergeCell ref="C53:C55"/>
    <mergeCell ref="D53:E55"/>
    <mergeCell ref="F53:F55"/>
    <mergeCell ref="G53:G55"/>
    <mergeCell ref="H53:H55"/>
    <mergeCell ref="C49:C51"/>
    <mergeCell ref="F49:F51"/>
    <mergeCell ref="G49:G51"/>
    <mergeCell ref="H49:H51"/>
    <mergeCell ref="D37:D39"/>
    <mergeCell ref="E37:E39"/>
    <mergeCell ref="D45:D47"/>
    <mergeCell ref="E45:E47"/>
    <mergeCell ref="AB33:AB35"/>
    <mergeCell ref="L33:L35"/>
    <mergeCell ref="C33:C35"/>
    <mergeCell ref="AB37:AB39"/>
    <mergeCell ref="AD37:AD39"/>
    <mergeCell ref="J37:J39"/>
    <mergeCell ref="F41:F43"/>
    <mergeCell ref="G37:G39"/>
    <mergeCell ref="O33:O35"/>
    <mergeCell ref="O37:O39"/>
    <mergeCell ref="M33:M35"/>
    <mergeCell ref="I33:I35"/>
    <mergeCell ref="J33:J35"/>
    <mergeCell ref="D33:D35"/>
    <mergeCell ref="E33:E35"/>
    <mergeCell ref="I37:I39"/>
    <mergeCell ref="R35:S35"/>
    <mergeCell ref="T35:Z35"/>
    <mergeCell ref="R33:S33"/>
    <mergeCell ref="T33:Z33"/>
    <mergeCell ref="R37:S37"/>
    <mergeCell ref="T37:Z37"/>
    <mergeCell ref="N33:N35"/>
    <mergeCell ref="AG23:AH23"/>
    <mergeCell ref="T23:U23"/>
    <mergeCell ref="L23:M23"/>
    <mergeCell ref="AA23:AC23"/>
    <mergeCell ref="AD23:AF23"/>
    <mergeCell ref="N23:O23"/>
    <mergeCell ref="P23:Q23"/>
    <mergeCell ref="R23:S23"/>
    <mergeCell ref="V23:X23"/>
    <mergeCell ref="AB29:AB31"/>
    <mergeCell ref="AD29:AD31"/>
    <mergeCell ref="AB25:AB27"/>
    <mergeCell ref="AD25:AD27"/>
    <mergeCell ref="AD33:AD35"/>
    <mergeCell ref="C29:C31"/>
    <mergeCell ref="F29:F31"/>
    <mergeCell ref="G29:G31"/>
    <mergeCell ref="D11:I11"/>
    <mergeCell ref="D12:I12"/>
    <mergeCell ref="H15:K15"/>
    <mergeCell ref="D18:G18"/>
    <mergeCell ref="H18:J19"/>
    <mergeCell ref="D6:I6"/>
    <mergeCell ref="H20:J20"/>
    <mergeCell ref="I21:J21"/>
    <mergeCell ref="D10:I10"/>
    <mergeCell ref="C25:C27"/>
    <mergeCell ref="F25:F27"/>
    <mergeCell ref="G25:G27"/>
    <mergeCell ref="D23:J23"/>
    <mergeCell ref="I25:I27"/>
    <mergeCell ref="G33:G35"/>
    <mergeCell ref="H25:H27"/>
    <mergeCell ref="H29:H31"/>
    <mergeCell ref="H33:H35"/>
    <mergeCell ref="H41:H43"/>
    <mergeCell ref="H37:H39"/>
    <mergeCell ref="F33:F35"/>
    <mergeCell ref="I29:I31"/>
    <mergeCell ref="I53:I55"/>
    <mergeCell ref="F45:F47"/>
    <mergeCell ref="I45:I47"/>
    <mergeCell ref="G45:G47"/>
    <mergeCell ref="H45:H47"/>
    <mergeCell ref="I41:I43"/>
    <mergeCell ref="F37:F39"/>
    <mergeCell ref="I49:I51"/>
    <mergeCell ref="G41:G43"/>
    <mergeCell ref="AB53:AB55"/>
    <mergeCell ref="AD53:AD55"/>
    <mergeCell ref="AD49:AD51"/>
    <mergeCell ref="AB45:AB47"/>
    <mergeCell ref="AD45:AD47"/>
    <mergeCell ref="AB41:AB43"/>
    <mergeCell ref="L37:L39"/>
    <mergeCell ref="M37:M39"/>
    <mergeCell ref="D49:E51"/>
    <mergeCell ref="V51:Z51"/>
    <mergeCell ref="R39:S39"/>
    <mergeCell ref="T39:Z39"/>
    <mergeCell ref="J49:J51"/>
    <mergeCell ref="L49:O51"/>
    <mergeCell ref="AB49:AB51"/>
    <mergeCell ref="N37:N39"/>
    <mergeCell ref="AD41:AD43"/>
    <mergeCell ref="J53:J55"/>
    <mergeCell ref="U49:Z49"/>
  </mergeCells>
  <phoneticPr fontId="2" type="noConversion"/>
  <printOptions horizontalCentered="1" verticalCentered="1"/>
  <pageMargins left="0.23622047244094491" right="0.23622047244094491" top="0.23622047244094491" bottom="0.23622047244094491" header="0.23622047244094491" footer="0.23622047244094491"/>
  <pageSetup paperSize="8" scale="40" fitToHeight="0" orientation="landscape" r:id="rId1"/>
  <headerFooter alignWithMargins="0">
    <oddHeader xml:space="preserve">&amp;C&amp;"Times New Roman,Bold"&amp;14Procurement Plan-&amp;A </oddHeader>
    <oddFooter>&amp;L&amp;"Times New Roman,Regular"&amp;F&amp;C&amp;"Times New Roman,Regular"&amp;P of &amp;N&amp;R&amp;"Times New Roman,Regular"&amp;D &amp;T</oddFooter>
  </headerFooter>
  <colBreaks count="1" manualBreakCount="1">
    <brk id="19" max="57" man="1"/>
  </colBreak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753f561111c4a5c9a676ffcd82ec96f xmlns="b3393e74-44f2-4055-a8f1-a3b8354bec63">
      <Terms xmlns="http://schemas.microsoft.com/office/infopath/2007/PartnerControls"/>
    </m753f561111c4a5c9a676ffcd82ec96f>
    <TaxCatchAll xmlns="b3393e74-44f2-4055-a8f1-a3b8354bec63"/>
    <mb3034d41f874b10b4642ef1f6e9b873 xmlns="b3393e74-44f2-4055-a8f1-a3b8354bec63">
      <Terms xmlns="http://schemas.microsoft.com/office/infopath/2007/PartnerControls"/>
    </mb3034d41f874b10b4642ef1f6e9b873>
    <hd1f31bbd4294c99af3bbdc787b8fc2d xmlns="b3393e74-44f2-4055-a8f1-a3b8354bec63">
      <Terms xmlns="http://schemas.microsoft.com/office/infopath/2007/PartnerControls"/>
    </hd1f31bbd4294c99af3bbdc787b8fc2d>
    <EvalReportKPType xmlns="b3393e74-44f2-4055-a8f1-a3b8354bec63"/>
    <a3929c4ad7cc4ced9a2dd2025ab32a9f xmlns="b3393e74-44f2-4055-a8f1-a3b8354bec63">
      <Terms xmlns="http://schemas.microsoft.com/office/infopath/2007/PartnerControls"/>
    </a3929c4ad7cc4ced9a2dd2025ab32a9f>
    <g176e30be64a450a930f03438f932219 xmlns="b3393e74-44f2-4055-a8f1-a3b8354bec63">
      <Terms xmlns="http://schemas.microsoft.com/office/infopath/2007/PartnerControls"/>
    </g176e30be64a450a930f03438f932219>
    <icc8f0e23ceb44b4bbc7685ea94a1df4 xmlns="b3393e74-44f2-4055-a8f1-a3b8354bec63">
      <Terms xmlns="http://schemas.microsoft.com/office/infopath/2007/PartnerControls"/>
    </icc8f0e23ceb44b4bbc7685ea94a1df4>
    <ha2154b01c0e4d5eb10093f0c8f779ca xmlns="b3393e74-44f2-4055-a8f1-a3b8354bec63">
      <Terms xmlns="http://schemas.microsoft.com/office/infopath/2007/PartnerControls"/>
    </ha2154b01c0e4d5eb10093f0c8f779ca>
    <bbfb5010e32a430f83e61dc29838b80d xmlns="b3393e74-44f2-4055-a8f1-a3b8354bec63">
      <Terms xmlns="http://schemas.microsoft.com/office/infopath/2007/PartnerControls"/>
    </bbfb5010e32a430f83e61dc29838b80d>
    <EKTASPContentType xmlns="b3393e74-44f2-4055-a8f1-a3b8354bec63">14</EKTASPContentType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mplate Knowledge Product" ma:contentTypeID="0x01010055280182432C8B4E9B90E7B1066F263B009B11407EF029194489C20DC2975217F5" ma:contentTypeVersion="" ma:contentTypeDescription="" ma:contentTypeScope="" ma:versionID="ddd8c4dda997c584ec157b6eed92b03a">
  <xsd:schema xmlns:xsd="http://www.w3.org/2001/XMLSchema" xmlns:xs="http://www.w3.org/2001/XMLSchema" xmlns:p="http://schemas.microsoft.com/office/2006/metadata/properties" xmlns:ns2="b3393e74-44f2-4055-a8f1-a3b8354bec63" xmlns:ns3="c1a7fef0-1aa9-465a-9ed3-53f9bc14b33e" targetNamespace="http://schemas.microsoft.com/office/2006/metadata/properties" ma:root="true" ma:fieldsID="f3edd4db887e5b63181574c2e66c4d0c" ns2:_="" ns3:_="">
    <xsd:import namespace="b3393e74-44f2-4055-a8f1-a3b8354bec63"/>
    <xsd:import namespace="c1a7fef0-1aa9-465a-9ed3-53f9bc14b33e"/>
    <xsd:element name="properties">
      <xsd:complexType>
        <xsd:sequence>
          <xsd:element name="documentManagement">
            <xsd:complexType>
              <xsd:all>
                <xsd:element ref="ns2:m753f561111c4a5c9a676ffcd82ec96f" minOccurs="0"/>
                <xsd:element ref="ns2:TaxCatchAll" minOccurs="0"/>
                <xsd:element ref="ns2:TaxCatchAllLabel" minOccurs="0"/>
                <xsd:element ref="ns2:g176e30be64a450a930f03438f932219" minOccurs="0"/>
                <xsd:element ref="ns2:EKTASPContentType" minOccurs="0"/>
                <xsd:element ref="ns2:a3929c4ad7cc4ced9a2dd2025ab32a9f" minOccurs="0"/>
                <xsd:element ref="ns2:hd1f31bbd4294c99af3bbdc787b8fc2d" minOccurs="0"/>
                <xsd:element ref="ns2:bbfb5010e32a430f83e61dc29838b80d" minOccurs="0"/>
                <xsd:element ref="ns2:mb3034d41f874b10b4642ef1f6e9b873" minOccurs="0"/>
                <xsd:element ref="ns2:icc8f0e23ceb44b4bbc7685ea94a1df4" minOccurs="0"/>
                <xsd:element ref="ns2:ha2154b01c0e4d5eb10093f0c8f779ca" minOccurs="0"/>
                <xsd:element ref="ns2:EvalReportKPType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393e74-44f2-4055-a8f1-a3b8354bec63" elementFormDefault="qualified">
    <xsd:import namespace="http://schemas.microsoft.com/office/2006/documentManagement/types"/>
    <xsd:import namespace="http://schemas.microsoft.com/office/infopath/2007/PartnerControls"/>
    <xsd:element name="m753f561111c4a5c9a676ffcd82ec96f" ma:index="8" nillable="true" ma:taxonomy="true" ma:internalName="m753f561111c4a5c9a676ffcd82ec96f" ma:taxonomyFieldName="CorporateLabels" ma:displayName="Corporate Labels" ma:default="" ma:fieldId="{6753f561-111c-4a5c-9a67-6ffcd82ec96f}" ma:taxonomyMulti="true" ma:sspId="dff87d23-35d0-46b6-864e-ecae02488086" ma:termSetId="a9945260-456e-4335-9061-8ba97c1fca4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9" nillable="true" ma:displayName="Taxonomy Catch All Column" ma:hidden="true" ma:list="{bca00dbf-5cce-4b84-a0b6-49dee7604fb2}" ma:internalName="TaxCatchAll" ma:showField="CatchAllData" ma:web="b3393e74-44f2-4055-a8f1-a3b8354bec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bca00dbf-5cce-4b84-a0b6-49dee7604fb2}" ma:internalName="TaxCatchAllLabel" ma:readOnly="true" ma:showField="CatchAllDataLabel" ma:web="b3393e74-44f2-4055-a8f1-a3b8354bec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g176e30be64a450a930f03438f932219" ma:index="12" nillable="true" ma:taxonomy="true" ma:internalName="g176e30be64a450a930f03438f932219" ma:taxonomyFieldName="UserLabels" ma:displayName="User Labels" ma:default="" ma:fieldId="{0176e30b-e64a-450a-930f-03438f932219}" ma:taxonomyMulti="true" ma:sspId="dff87d23-35d0-46b6-864e-ecae02488086" ma:termSetId="3873956f-d740-4b21-bddd-794f6448ce43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EKTASPContentType" ma:index="14" nillable="true" ma:displayName="EKTASP Content Type" ma:list="{d3454920-c3e7-41d2-a191-c0b983a949a6}" ma:internalName="EKTASPContentType" ma:showField="Title" ma:web="b3393e74-44f2-4055-a8f1-a3b8354bec63">
      <xsd:simpleType>
        <xsd:restriction base="dms:Lookup"/>
      </xsd:simpleType>
    </xsd:element>
    <xsd:element name="a3929c4ad7cc4ced9a2dd2025ab32a9f" ma:index="15" nillable="true" ma:taxonomy="true" ma:internalName="a3929c4ad7cc4ced9a2dd2025ab32a9f" ma:taxonomyFieldName="SectorArea" ma:displayName="Sector Area" ma:default="" ma:fieldId="{a3929c4a-d7cc-4ced-9a2d-d2025ab32a9f}" ma:taxonomyMulti="true" ma:sspId="dff87d23-35d0-46b6-864e-ecae02488086" ma:termSetId="511e17eb-aee1-4f11-9a85-7aba826e25e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d1f31bbd4294c99af3bbdc787b8fc2d" ma:index="17" nillable="true" ma:taxonomy="true" ma:internalName="hd1f31bbd4294c99af3bbdc787b8fc2d" ma:taxonomyFieldName="RegionCountry" ma:displayName="Region - Country" ma:default="" ma:fieldId="{1d1f31bb-d429-4c99-af3b-bdc787b8fc2d}" ma:taxonomyMulti="true" ma:sspId="dff87d23-35d0-46b6-864e-ecae02488086" ma:termSetId="21b49dd8-32ea-46cb-b92a-c64e78efcc4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bfb5010e32a430f83e61dc29838b80d" ma:index="19" nillable="true" ma:taxonomy="true" ma:internalName="bbfb5010e32a430f83e61dc29838b80d" ma:taxonomyFieldName="SDG" ma:displayName="SDG" ma:default="" ma:fieldId="{bbfb5010-e32a-430f-83e6-1dc29838b80d}" ma:taxonomyMulti="true" ma:sspId="dff87d23-35d0-46b6-864e-ecae02488086" ma:termSetId="7cd1002a-0cf8-4415-9781-101289355ff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b3034d41f874b10b4642ef1f6e9b873" ma:index="21" nillable="true" ma:taxonomy="true" ma:internalName="mb3034d41f874b10b4642ef1f6e9b873" ma:taxonomyFieldName="StrategyMap" ma:displayName="Strategy Map" ma:default="" ma:fieldId="{6b3034d4-1f87-4b10-b464-2ef1f6e9b873}" ma:taxonomyMulti="true" ma:sspId="dff87d23-35d0-46b6-864e-ecae02488086" ma:termSetId="5a99e388-6c34-4eb9-8ac8-f45fd385b17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cc8f0e23ceb44b4bbc7685ea94a1df4" ma:index="23" nillable="true" ma:taxonomy="true" ma:internalName="icc8f0e23ceb44b4bbc7685ea94a1df4" ma:taxonomyFieldName="ModeOfFinance" ma:displayName="Mode Of Finance" ma:default="" ma:fieldId="{2cc8f0e2-3ceb-44b4-bbc7-685ea94a1df4}" ma:taxonomyMulti="true" ma:sspId="dff87d23-35d0-46b6-864e-ecae02488086" ma:termSetId="1d98c557-e1c6-4d74-baeb-4bccdad1359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a2154b01c0e4d5eb10093f0c8f779ca" ma:index="25" nillable="true" ma:taxonomy="true" ma:internalName="ha2154b01c0e4d5eb10093f0c8f779ca" ma:taxonomyFieldName="IsDBDepartment" ma:displayName="IsDB Org Structure" ma:default="" ma:fieldId="{1a2154b0-1c0e-4d5e-b100-93f0c8f779ca}" ma:taxonomyMulti="true" ma:sspId="dff87d23-35d0-46b6-864e-ecae02488086" ma:termSetId="76ed10c2-3a22-45d0-9af5-28dbc5344530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valReportKPType" ma:index="27" nillable="true" ma:displayName="EvalReportKPType" ma:list="{bd9912ef-d023-4c3b-848c-f34332344f19}" ma:internalName="EvalReportKPType" ma:showField="Title" ma:web="b3393e74-44f2-4055-a8f1-a3b8354bec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a7fef0-1aa9-465a-9ed3-53f9bc14b3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FF4B180-C3E8-4C83-B910-DE226C7ED63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2BF908-CA63-4424-88A9-89FC8C483193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b3393e74-44f2-4055-a8f1-a3b8354bec63"/>
    <ds:schemaRef ds:uri="http://purl.org/dc/terms/"/>
    <ds:schemaRef ds:uri="c1a7fef0-1aa9-465a-9ed3-53f9bc14b33e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AB9AA3B-FF1A-4EE8-B643-521367B884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3393e74-44f2-4055-a8f1-a3b8354bec63"/>
    <ds:schemaRef ds:uri="c1a7fef0-1aa9-465a-9ed3-53f9bc14b33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</vt:i4>
      </vt:variant>
    </vt:vector>
  </HeadingPairs>
  <TitlesOfParts>
    <vt:vector size="11" baseType="lpstr">
      <vt:lpstr>MAJ PPM actualisé_Suivi</vt:lpstr>
      <vt:lpstr>Travaux</vt:lpstr>
      <vt:lpstr>Biens</vt:lpstr>
      <vt:lpstr>Consultants</vt:lpstr>
      <vt:lpstr>Biens!Impression_des_titres</vt:lpstr>
      <vt:lpstr>Consultants!Impression_des_titres</vt:lpstr>
      <vt:lpstr>Travaux!Impression_des_titres</vt:lpstr>
      <vt:lpstr>Biens!Zone_d_impression</vt:lpstr>
      <vt:lpstr>Consultants!Zone_d_impression</vt:lpstr>
      <vt:lpstr>'MAJ PPM actualisé_Suivi'!Zone_d_impression</vt:lpstr>
      <vt:lpstr>Travaux!Zone_d_impression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AF2PE</dc:creator>
  <cp:lastModifiedBy>ARSENE KOUASSI</cp:lastModifiedBy>
  <cp:lastPrinted>2024-02-29T15:48:48Z</cp:lastPrinted>
  <dcterms:created xsi:type="dcterms:W3CDTF">1999-05-11T18:48:49Z</dcterms:created>
  <dcterms:modified xsi:type="dcterms:W3CDTF">2024-02-29T15:48:58Z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0x01010055280182432C8B4E9B90E7B1066F263B009B11407EF029194489C20DC2975217F5</vt:lpwstr>
  </property>
  <property fmtid="{D5CDD505-2E9C-101B-9397-08002B2CF9AE}" pid="3" name="SectorArea">
    <vt:lpwstr/>
  </property>
  <property fmtid="{D5CDD505-2E9C-101B-9397-08002B2CF9AE}" pid="4" name="IsDBDepartment">
    <vt:lpwstr/>
  </property>
  <property fmtid="{D5CDD505-2E9C-101B-9397-08002B2CF9AE}" pid="5" name="StrategyMap">
    <vt:lpwstr/>
  </property>
  <property fmtid="{D5CDD505-2E9C-101B-9397-08002B2CF9AE}" pid="6" name="RegionCountry">
    <vt:lpwstr/>
  </property>
  <property fmtid="{D5CDD505-2E9C-101B-9397-08002B2CF9AE}" pid="7" name="ModeOfFinance">
    <vt:lpwstr/>
  </property>
  <property fmtid="{D5CDD505-2E9C-101B-9397-08002B2CF9AE}" pid="8" name="CorporateLabels">
    <vt:lpwstr/>
  </property>
  <property fmtid="{D5CDD505-2E9C-101B-9397-08002B2CF9AE}" pid="9" name="SDG">
    <vt:lpwstr/>
  </property>
  <property fmtid="{D5CDD505-2E9C-101B-9397-08002B2CF9AE}" pid="10" name="UserLabels">
    <vt:lpwstr/>
  </property>
</Properties>
</file>