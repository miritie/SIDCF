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4B463448-977E-448A-B45D-2B49D88CAD59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Travaux" sheetId="6" r:id="rId1"/>
    <sheet name="Biens et Services" sheetId="4" r:id="rId2"/>
    <sheet name="Consultants" sheetId="5" r:id="rId3"/>
  </sheets>
  <definedNames>
    <definedName name="_xlnm._FilterDatabase" localSheetId="1" hidden="1">'Biens et Services'!$A$10:$R$44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4" l="1"/>
  <c r="M23" i="4"/>
  <c r="I18" i="4"/>
  <c r="I14" i="4"/>
  <c r="G39" i="5"/>
  <c r="G37" i="5"/>
  <c r="G35" i="5"/>
  <c r="N11" i="4" l="1"/>
  <c r="I40" i="4"/>
  <c r="J40" i="4" s="1"/>
  <c r="M40" i="4" s="1"/>
  <c r="N40" i="4" s="1"/>
  <c r="I20" i="4"/>
  <c r="J20" i="4" s="1"/>
  <c r="M20" i="4" s="1"/>
  <c r="N20" i="4" s="1"/>
  <c r="O20" i="4" s="1"/>
  <c r="P20" i="4" s="1"/>
  <c r="I19" i="4"/>
  <c r="J19" i="4" s="1"/>
  <c r="M19" i="4" s="1"/>
  <c r="N19" i="4" s="1"/>
  <c r="O19" i="4" s="1"/>
  <c r="P19" i="4" s="1"/>
  <c r="J19" i="5"/>
  <c r="J20" i="5"/>
  <c r="I39" i="4"/>
  <c r="J39" i="4" s="1"/>
  <c r="M39" i="4" s="1"/>
  <c r="N39" i="4" s="1"/>
  <c r="I35" i="4"/>
  <c r="J35" i="4" s="1"/>
  <c r="M35" i="4" s="1"/>
  <c r="N35" i="4" s="1"/>
  <c r="I34" i="4"/>
  <c r="J34" i="4" s="1"/>
  <c r="M34" i="4" s="1"/>
  <c r="N34" i="4" s="1"/>
  <c r="I33" i="4"/>
  <c r="J33" i="4" s="1"/>
  <c r="M33" i="4" s="1"/>
  <c r="N33" i="4" s="1"/>
  <c r="M29" i="4"/>
  <c r="N29" i="4" s="1"/>
  <c r="O29" i="4" s="1"/>
  <c r="P29" i="4" s="1"/>
  <c r="I22" i="4"/>
  <c r="J22" i="4" s="1"/>
  <c r="M22" i="4" s="1"/>
  <c r="N22" i="4" s="1"/>
  <c r="O22" i="4" s="1"/>
  <c r="P22" i="4" s="1"/>
  <c r="Q22" i="4" s="1"/>
  <c r="R22" i="4" s="1"/>
  <c r="J18" i="4"/>
  <c r="M18" i="4" s="1"/>
  <c r="N18" i="4" s="1"/>
  <c r="O18" i="4" s="1"/>
  <c r="P18" i="4" s="1"/>
  <c r="I17" i="4"/>
  <c r="J17" i="4" s="1"/>
  <c r="M26" i="4"/>
  <c r="N26" i="4" s="1"/>
  <c r="J27" i="4"/>
  <c r="M27" i="4" s="1"/>
  <c r="N27" i="4" s="1"/>
  <c r="I25" i="4"/>
  <c r="J25" i="4" s="1"/>
  <c r="M25" i="4" s="1"/>
  <c r="N25" i="4" s="1"/>
  <c r="O25" i="4" s="1"/>
  <c r="P25" i="4" s="1"/>
  <c r="I24" i="4"/>
  <c r="J24" i="4" s="1"/>
  <c r="M24" i="4" s="1"/>
  <c r="N23" i="4"/>
  <c r="N31" i="4"/>
  <c r="O31" i="4" s="1"/>
  <c r="P31" i="4" s="1"/>
  <c r="I31" i="4"/>
  <c r="J31" i="4" s="1"/>
  <c r="N32" i="4"/>
  <c r="O32" i="4" s="1"/>
  <c r="P32" i="4" s="1"/>
  <c r="I32" i="4"/>
  <c r="J32" i="4" s="1"/>
  <c r="N38" i="4"/>
  <c r="O38" i="4" s="1"/>
  <c r="P38" i="4" s="1"/>
  <c r="I38" i="4"/>
  <c r="J38" i="4" s="1"/>
  <c r="I21" i="4"/>
  <c r="J21" i="4" s="1"/>
  <c r="N21" i="4" s="1"/>
  <c r="O21" i="4" s="1"/>
  <c r="P21" i="4" s="1"/>
  <c r="J16" i="4"/>
  <c r="M16" i="4" s="1"/>
  <c r="N16" i="4" s="1"/>
  <c r="O16" i="4" s="1"/>
  <c r="P16" i="4" s="1"/>
  <c r="I15" i="4"/>
  <c r="J15" i="4" s="1"/>
  <c r="M15" i="4" s="1"/>
  <c r="N15" i="4" s="1"/>
  <c r="O15" i="4" s="1"/>
  <c r="P15" i="4" s="1"/>
  <c r="J14" i="4"/>
  <c r="M14" i="4" s="1"/>
  <c r="N14" i="4" s="1"/>
  <c r="O14" i="4" s="1"/>
  <c r="P14" i="4" s="1"/>
  <c r="J13" i="4"/>
  <c r="K13" i="4" s="1"/>
  <c r="N13" i="4" s="1"/>
  <c r="O13" i="4" s="1"/>
  <c r="I12" i="4"/>
  <c r="J12" i="4" s="1"/>
  <c r="M12" i="4" s="1"/>
  <c r="J11" i="4"/>
  <c r="I41" i="6"/>
  <c r="J41" i="6"/>
  <c r="H15" i="6"/>
  <c r="K26" i="6"/>
  <c r="J16" i="5"/>
  <c r="K17" i="6"/>
  <c r="G42" i="5"/>
  <c r="J13" i="5"/>
  <c r="J14" i="5"/>
  <c r="J15" i="5"/>
  <c r="J12" i="5"/>
  <c r="K13" i="6"/>
  <c r="K14" i="6"/>
  <c r="K12" i="6"/>
  <c r="H22" i="6"/>
  <c r="H21" i="6"/>
  <c r="H20" i="6"/>
  <c r="H19" i="6"/>
  <c r="H13" i="6"/>
  <c r="N12" i="4" l="1"/>
  <c r="P12" i="4" s="1"/>
  <c r="Q12" i="4" s="1"/>
  <c r="R12" i="4" s="1"/>
  <c r="O11" i="4"/>
  <c r="P11" i="4" s="1"/>
  <c r="Q11" i="4" s="1"/>
  <c r="Q20" i="4"/>
  <c r="R20" i="4"/>
  <c r="Q19" i="4"/>
  <c r="R19" i="4"/>
  <c r="P39" i="4"/>
  <c r="O39" i="4"/>
  <c r="P40" i="4"/>
  <c r="Q40" i="4" s="1"/>
  <c r="R40" i="4" s="1"/>
  <c r="O40" i="4"/>
  <c r="P33" i="4"/>
  <c r="Q33" i="4" s="1"/>
  <c r="R33" i="4" s="1"/>
  <c r="O33" i="4"/>
  <c r="P35" i="4"/>
  <c r="Q35" i="4" s="1"/>
  <c r="R35" i="4" s="1"/>
  <c r="O35" i="4"/>
  <c r="P34" i="4"/>
  <c r="Q34" i="4" s="1"/>
  <c r="R34" i="4" s="1"/>
  <c r="O34" i="4"/>
  <c r="Q25" i="4"/>
  <c r="R25" i="4"/>
  <c r="R18" i="4"/>
  <c r="Q18" i="4"/>
  <c r="P27" i="4"/>
  <c r="O27" i="4"/>
  <c r="O17" i="4"/>
  <c r="P17" i="4"/>
  <c r="N24" i="4"/>
  <c r="O24" i="4" s="1"/>
  <c r="P24" i="4" s="1"/>
  <c r="R16" i="4"/>
  <c r="Q16" i="4"/>
  <c r="R15" i="4"/>
  <c r="Q15" i="4"/>
  <c r="R14" i="4"/>
  <c r="Q14" i="4"/>
  <c r="Q13" i="4"/>
  <c r="R13" i="4" s="1"/>
  <c r="P13" i="4"/>
  <c r="O12" i="4"/>
  <c r="K41" i="6"/>
  <c r="R11" i="4" l="1"/>
  <c r="R39" i="4"/>
  <c r="Q39" i="4"/>
  <c r="R27" i="4"/>
  <c r="Q27" i="4"/>
  <c r="R17" i="4"/>
  <c r="Q17" i="4"/>
  <c r="Q24" i="4"/>
  <c r="R24" i="4"/>
  <c r="I37" i="4"/>
  <c r="J37" i="4" s="1"/>
  <c r="M37" i="4" s="1"/>
  <c r="N37" i="4" s="1"/>
  <c r="P37" i="4" l="1"/>
  <c r="Q37" i="4" s="1"/>
  <c r="R37" i="4" s="1"/>
  <c r="O37" i="4"/>
</calcChain>
</file>

<file path=xl/sharedStrings.xml><?xml version="1.0" encoding="utf-8"?>
<sst xmlns="http://schemas.openxmlformats.org/spreadsheetml/2006/main" count="917" uniqueCount="216">
  <si>
    <t>BID</t>
  </si>
  <si>
    <t>Source de financement</t>
  </si>
  <si>
    <t>Objet de l'opération</t>
  </si>
  <si>
    <t>Autorité Contractante</t>
  </si>
  <si>
    <t>ETAT</t>
  </si>
  <si>
    <t>UG-PABC</t>
  </si>
  <si>
    <t>Mode d'acquisition</t>
  </si>
  <si>
    <t>Coût total Services Consultants</t>
  </si>
  <si>
    <t>MEER/UG-PABC</t>
  </si>
  <si>
    <t>MINASS/UG-PABC</t>
  </si>
  <si>
    <t>MINEDD/UG-PABC</t>
  </si>
  <si>
    <t>Ligne budgetaire</t>
  </si>
  <si>
    <t>Attributaire</t>
  </si>
  <si>
    <t>Début</t>
  </si>
  <si>
    <t>Fin</t>
  </si>
  <si>
    <t>SO</t>
  </si>
  <si>
    <t>Date de la signature du contrat</t>
  </si>
  <si>
    <t>Date de l'éxécution du contrat</t>
  </si>
  <si>
    <t>N°</t>
  </si>
  <si>
    <t>Montant</t>
  </si>
  <si>
    <t>Date sollicitation des factures</t>
  </si>
  <si>
    <t>Date d'ouverture (ouverture, analyse et attribution concomittament)</t>
  </si>
  <si>
    <t>Autorité contractante</t>
  </si>
  <si>
    <t>N/A</t>
  </si>
  <si>
    <t>Date de soumission au Bailleur</t>
  </si>
  <si>
    <t>ANO du Bailleur</t>
  </si>
  <si>
    <t>NA</t>
  </si>
  <si>
    <t>Cabinet attributaire du marché</t>
  </si>
  <si>
    <t>Montant estimé du marché/ HT</t>
  </si>
  <si>
    <t>Montant réel du marché de base</t>
  </si>
  <si>
    <t>CRBC</t>
  </si>
  <si>
    <t>Date d'approbation Avenant</t>
  </si>
  <si>
    <t>Mode de passation</t>
  </si>
  <si>
    <t>Gré à gré</t>
  </si>
  <si>
    <t>AOI/Pré</t>
  </si>
  <si>
    <t>SGTM</t>
  </si>
  <si>
    <t>Fonds Koweitien / ETAT</t>
  </si>
  <si>
    <t>AOI</t>
  </si>
  <si>
    <t>AON</t>
  </si>
  <si>
    <t>Visa du CF</t>
  </si>
  <si>
    <t>ENVIPUR</t>
  </si>
  <si>
    <t>SOCOTEC</t>
  </si>
  <si>
    <t>NOVEC</t>
  </si>
  <si>
    <t>Date de signature de l'autorité Contractante</t>
  </si>
  <si>
    <t>Intitulé du marché</t>
  </si>
  <si>
    <t>Observations</t>
  </si>
  <si>
    <t>Date ANO DGMP</t>
  </si>
  <si>
    <t>Date ANO Bailleur</t>
  </si>
  <si>
    <t>AVENANT</t>
  </si>
  <si>
    <t xml:space="preserve">   MARCHE DE BASE</t>
  </si>
  <si>
    <t xml:space="preserve">Date d'approbation </t>
  </si>
  <si>
    <t>Date d'approbation</t>
  </si>
  <si>
    <t xml:space="preserve">Date Fin marché </t>
  </si>
  <si>
    <t>Entreprise attributaire</t>
  </si>
  <si>
    <t>Avenant de prolongation de delais à faire</t>
  </si>
  <si>
    <t>Sans Objet (SO)</t>
  </si>
  <si>
    <t xml:space="preserve">Recapitulatif </t>
  </si>
  <si>
    <t>Montant du marché actualisé</t>
  </si>
  <si>
    <t>COUT TOTAL MARCHES</t>
  </si>
  <si>
    <t>Date réception des factures/offres</t>
  </si>
  <si>
    <t>NON APPLICABLE (NA)</t>
  </si>
  <si>
    <t>Transmission du dossier au Contrôleur Financier (CF)</t>
  </si>
  <si>
    <t xml:space="preserve">Objet du marché </t>
  </si>
  <si>
    <t>Ligne 
budgétaire</t>
  </si>
  <si>
    <t>(FCFA HT)</t>
  </si>
  <si>
    <t>Montant estimé du marché</t>
  </si>
  <si>
    <t xml:space="preserve">Montant réel du marché de base </t>
  </si>
  <si>
    <t>Date ANO
 Bailleur</t>
  </si>
  <si>
    <t>Date ANO
 DGMP</t>
  </si>
  <si>
    <t>Date ANO 
DGMP</t>
  </si>
  <si>
    <t>Montant 
Avenant</t>
  </si>
  <si>
    <t>MARCHE DE BASE</t>
  </si>
  <si>
    <t>Date fin 
Marché</t>
  </si>
  <si>
    <t>Date début 
Marché</t>
  </si>
  <si>
    <t>Date approbation</t>
  </si>
  <si>
    <t>Date ANO
Bailleur</t>
  </si>
  <si>
    <t>Date ANO  
DMP</t>
  </si>
  <si>
    <t xml:space="preserve">Montant marché actualisé  </t>
  </si>
  <si>
    <t>PROJET DE SAUVEGARDE ET DE VALORISATION DE LA BAIE DE COCODY ET DE LA LAGUNE EBRIE (PABC)</t>
  </si>
  <si>
    <t>En attente de finalisation du DAO</t>
  </si>
  <si>
    <t>PLAN DE PASSATION DES MARCHES DE TRAVAUX</t>
  </si>
  <si>
    <t>PLAN DE PASSATION DES MARCHES DE SERVICES ET CONSULTANTS</t>
  </si>
  <si>
    <t xml:space="preserve">Source de financement </t>
  </si>
  <si>
    <t xml:space="preserve">Structure en charge de la description des besoins </t>
  </si>
  <si>
    <t>CONCEPTION DE SYSTEMES D'ORGANISATION-PROGICIELS (ACQUISITIONS DE LOGICIELS SAGE)</t>
  </si>
  <si>
    <t>CONSTRUCTION DE CLÔTUIRES</t>
  </si>
  <si>
    <t>BÂTIMENTS ADMINISTRATIFS À USAGE DE BUREAU (TRAVAUX AMENAGEMENT DES LOCAUX)</t>
  </si>
  <si>
    <t>AUTRES BÂTIMENTS ADMINISTRATIFS À USAGE DE TECHNIQUE (ACQUISITION DE CONTENEURS)</t>
  </si>
  <si>
    <t>RÉSEAUX TÉLÉPHONIQUES ET DE TÉLÉCOMMUNICATION (CABLAGE RESEAUX ET INFORMATIQUE)</t>
  </si>
  <si>
    <t>MOBILIER ET MATÉRIEL DE BUREAU (AUTRE QU'INFORMATIQUE)</t>
  </si>
  <si>
    <t>MATÉRIEL INFORMATIQUE</t>
  </si>
  <si>
    <t>VOITURES DE SERVICE OU DE LIAISON</t>
  </si>
  <si>
    <t xml:space="preserve"> VÉHICULES À 2 ROUES ET TRICYCLES</t>
  </si>
  <si>
    <t xml:space="preserve">AUTRES MATÉRIELS ET OUTILLAGES TECHNIQUES (ACQUISITION GPS, DETECTEURS DE GAZ, ETC.) </t>
  </si>
  <si>
    <t>MATÉRIEL DE TRANSPORT FLUVIAL OU MARITIME (ACQUISITION DE ZODIACS)</t>
  </si>
  <si>
    <t>ACHATS DE PETITS MATÉRIELS, FOURNITURES DE BUREAU ET DOCUMENTATION</t>
  </si>
  <si>
    <t>ACHATS DE CARBURANTS ET LUBRIFIANTS</t>
  </si>
  <si>
    <t>ACHATS DE FOURNITURES ET CONSOMMABLES POUR LE MATÉRIEL INFORMATIQUE</t>
  </si>
  <si>
    <t xml:space="preserve">ACHATS DE PETITS MATÉRIELS ET FOURNITURES TECHNIQUES </t>
  </si>
  <si>
    <t xml:space="preserve">AUTRES ACHATS ET FOURNITURES </t>
  </si>
  <si>
    <t xml:space="preserve"> ABONNEMENTS ET CONSOMMATION D'EAU </t>
  </si>
  <si>
    <t>ABONNEMENTS ET CONSOMMATION D'ÉLECTRCITÉ</t>
  </si>
  <si>
    <t>LOYERS ET CHARGES LOCATIVES DES LOCAUX</t>
  </si>
  <si>
    <t>LOCATION DE VEHICULES</t>
  </si>
  <si>
    <t>ENTRETIEN DES LOCAUX (Y COMPRIS MATÉRIEL ET FOURNITURES D'ENTRETIEN)</t>
  </si>
  <si>
    <t>ENTRETIEN DES INSTALLATIONS ÉLECTRIQUES, CLIMATISEURS, SANITAIRES ET PLOMBERIE</t>
  </si>
  <si>
    <t xml:space="preserve"> ENTRETIEN ET MAINTENANCE DES MOBILIERS ET MATÉRIELS INFORMATIQUES</t>
  </si>
  <si>
    <t xml:space="preserve"> ENTRETIEN ET MAINTENANCE DES CENTRAUX TÉLÉPHONIQUES, TÉLÉPHONES, TÉLÉCOPIEURS ET MATÉRIEL DE TÉLÉCOMMUNICATION</t>
  </si>
  <si>
    <t>ENTRETIEN ET MAINTENANCE DES MOBILIERS ET MATÉRIELS (SAUF INFORMATIQUES)</t>
  </si>
  <si>
    <t xml:space="preserve"> ENTRETIEN ET RÉPARATION DES VÉHICULES, PNEUMATIQUES</t>
  </si>
  <si>
    <t>AUTRES DÉPENSES D'ENTRETIEN ET DE MAINTENANCE</t>
  </si>
  <si>
    <t>ASSURANCE DES IMMEUBLES</t>
  </si>
  <si>
    <t>ASSURANCES DES VÉHICULES AUTOMOBILES, VÉHICULES À 2 ROUES ET TRICYCLES</t>
  </si>
  <si>
    <t xml:space="preserve"> ABONNEMENTS ET CONSOMMATIONS DE TÉLÉPHONE, ET D'AUTRES TÉLÉCOMMUNICATIONS </t>
  </si>
  <si>
    <t>ABONNEMENTS ET CONSOMMATIONS INTERNET</t>
  </si>
  <si>
    <t>SERVICE EXTERIEUR DE GARDIENNAGE</t>
  </si>
  <si>
    <t>AUTRES PRESTATIONS DE SERVICE</t>
  </si>
  <si>
    <t>PSL</t>
  </si>
  <si>
    <t>PSC</t>
  </si>
  <si>
    <t>Exemptée de marché</t>
  </si>
  <si>
    <t>PSD</t>
  </si>
  <si>
    <t>TRAVAUX DE CONSTRUCTION DU PONT DE COCODY (CRBC) : Avenant N°2</t>
  </si>
  <si>
    <t>TRAVAUX D'OUVERTURE DE L'EMBOUCHURE DU FLEUVE COMOÉ  À GRAND BASSAM (SGTM) : Avenant N°1</t>
  </si>
  <si>
    <t>TRAVAUX DE LA DEUXIÈME PHASE DU PABC (SGTM/ENSBTP) : Avenant N°2</t>
  </si>
  <si>
    <t>TRAVAUX DE CONSTRUCTION D'UNE STATION DE TRAITEMENT DES EAUX USEES AU NIVEAU DU CARREFOUR DE L'INDENIE</t>
  </si>
  <si>
    <t>TRAITEMENT DES NUISANCES OLFACTIVES 1 (ENVIPUR): Avenant N°1</t>
  </si>
  <si>
    <t>TRAITEMENT DES NUISANCES OLFACTIVES 2 (nouveau contrat) ENVIPUR</t>
  </si>
  <si>
    <t>TRAVAUX DE PLANTING D'ARBRE D'ASSAINISSEMENT ET DE RETENTION DES APPORTS SOLIDES DE LA COULEE VERTE DU BANCO (SODEFOR/CERCIS) : Avenant N°3</t>
  </si>
  <si>
    <t>TRAVAUX D'AMÉNAGEMENT DU CARREFOUR DE L'INDÉNIÉ (SGTM) : Avenant N°2</t>
  </si>
  <si>
    <t>TRAVAUX DE DEMOLITION DES BATISSES SITUEES DANS L'EMPRISE DE LA COULEE VERTE</t>
  </si>
  <si>
    <t>COULLE VERTE 2</t>
  </si>
  <si>
    <t>TRAITEMENT DES NUISANCES OLFACTIVES (MARCORY-COCODY)</t>
  </si>
  <si>
    <t>PROJET DE DEPOLUTION DES BAIES LAGUNAIRES A COCODY ET ANOUMABO PAR BIO-SOLUTIONS NATURELLES-PHASE PILOTE (GREENCELL)</t>
  </si>
  <si>
    <t xml:space="preserve">AUDIT DES INSTALLATIONS ELECTRIQUES COURANT FORT, ASSISTANCE A LA RECEPTION PROVISOIRE DES INSTALLATION EECTRIQUES ET NOUS ASSISTE PENDANT LA PERIODE DE GARANTIE DU PONT ALASSANE OUATTARA </t>
  </si>
  <si>
    <t>TRESOR</t>
  </si>
  <si>
    <t>SODEFOR / CERCIS</t>
  </si>
  <si>
    <t>GE CO TP-CI</t>
  </si>
  <si>
    <t>VEOLIA</t>
  </si>
  <si>
    <t>GREENTECH</t>
  </si>
  <si>
    <t>A déterminer</t>
  </si>
  <si>
    <t xml:space="preserve">Date début  marché </t>
  </si>
  <si>
    <t>Dossier Transmis à la DGMP  pour autorisation le 04/09/2023</t>
  </si>
  <si>
    <t xml:space="preserve">Avenant approuvé le 20/03/2023 (Os de notification de l'avenant  signé et archivé) </t>
  </si>
  <si>
    <t>ANO de la DGMP sur la liste restreinte en date du 21/08/2023   reçu le 22/08/2023. En attente de la transmission du DAO ua FKDEA, DAO transmis le 10/10//2023 au service opérationnel</t>
  </si>
  <si>
    <t>ANO de la DGMP reçu le 30/06/2023 ;  en attente de la signature du MINEDD (Dossier transmis le 26/07/2023)</t>
  </si>
  <si>
    <t>En attente de la transmission de la demande d'autorisation de passer marché de gré à gré à la DGMP.</t>
  </si>
  <si>
    <t>Suite à l'ANO de la DGMP en date du 09/05/2023 le dossier à été transmis à l'ANO de la BID (Dossier transmis le 05/06/2023)</t>
  </si>
  <si>
    <t>Dossier finanilser et archivé</t>
  </si>
  <si>
    <t>ANO de la DGMP reçu le 06/07/2023. Contrat à été resigné par l'attributaire le 30/09/2023. En Attente de la signature du Coordonnateur (ancienne signature 28/07/2023)</t>
  </si>
  <si>
    <t>ENTRETIEN ET DRAGAGE COMPLEMENTAIRE</t>
  </si>
  <si>
    <t>MISE EN PLACE DE DROMES A GRAND-BASSAM POUR LA RETENTION DES VEGETAUX AQUATIQUES</t>
  </si>
  <si>
    <t>DEPOLLUTION DU PLAN D’EAU DE LA BAIE DE COCODY ET DU CANAL D’ANOUMABO PAR APPORT DE BACTERIES (PHASE PILOTE)</t>
  </si>
  <si>
    <t xml:space="preserve">TRAITEMENT DES NUISANCES OLFACTIVES - BAIE DE COCODY 
</t>
  </si>
  <si>
    <t xml:space="preserve">TRAVAUX DE CONSTRUCTION D'UNE STATION D'ÉPURATION DES EAUX USÉES AU NIVEAU DU CARREFOUR DE L'INDENIE
</t>
  </si>
  <si>
    <t>EXTENSION DE LA COULEE VERTE DU BANCO ET RECONQUETE DES LITS MOYENS / MAJEURS</t>
  </si>
  <si>
    <t>TRAVAUX D'ASSAINISSEMENT DE LA BAIE</t>
  </si>
  <si>
    <t>CONSTRUCTION DE LA BRETELLE 9BIS ENTRE LE GIRATOIRE ET FRATERNITE MATIN</t>
  </si>
  <si>
    <t>CONSTRUCTION DE VOIES ANNEXES</t>
  </si>
  <si>
    <t>RENFORCEMENT DE L'ECLAIRAGE DES VOIES DU CARREFOUR DE L'INDENIE</t>
  </si>
  <si>
    <t>TRANSFERTS AUX ASSOCIATIONS ET AUTRES ORGANISMES NON LUCRATIFS</t>
  </si>
  <si>
    <t>SUBVENTION D'EQUILIBRE- PERSONNEL</t>
  </si>
  <si>
    <t>SUBVENTION D'EQUILIBRE- ACHAT DE BIENS ET SERVICES</t>
  </si>
  <si>
    <t>BAILLEUR</t>
  </si>
  <si>
    <t>BAILLEUR/TRESOR</t>
  </si>
  <si>
    <t>Transmis à la DGMP pour ANO le</t>
  </si>
  <si>
    <t xml:space="preserve">ETUDES, SUIVI ET CONTRÔLE DES TRAVAUX DE LA DEUXIÈME PHASE ET DE LA DEUXIÈME TRANCHE DU PABC (BNETD/CID) : Avenant N°1 </t>
  </si>
  <si>
    <t>MAITRISE D'ŒUVRE POUR LA CONSTRUCTION DU PONT DE COCODY A ABIDJAN (PFO ARCHITECTE)  : Contrat complémentaire</t>
  </si>
  <si>
    <t>SUIVI ET CONTRÔLE DES TRAVAUX DE L'OUVERTURE DE L'EMBOUCHURE DU FLEUVE COMOE A GRAND BASSAM (ARTELIA/ARTELIA CI) : Avenant N°1</t>
  </si>
  <si>
    <t>SUIVI ET CONTRÔLE DES TRAVAUX DE CONSTRUCTION DU PONT DE COCODY (LCI/TEC4/YOOSHIN) : Avenant N°2</t>
  </si>
  <si>
    <t>ASSISTANCE A MAITRISE D'OUVRAGE   (MARCHICA MED) : Avenant N°3</t>
  </si>
  <si>
    <t>EPREUVE DE CHARGEMENT ET MESURE DE TENSIONS DES HAUBANS DU PONT DE COCDY</t>
  </si>
  <si>
    <t>RECRUTEMENT D'UN CONSULTANT INDIVIDUEL POUR APPUI A LA CELLULE PASSATION DES MARCHES DU PABC</t>
  </si>
  <si>
    <t>RECRUTEMENT D'UN CONSULTANT INDIVIDUEL POUR L'ASSISTANCE A MAITRISE D'OUVRAGE DELEGUE DANS LE CADRE DES TRAVAUX D'OUVERTURE DE L'EMBOUCHURE DU FLEUVE COMOE A GRAND-BASSAM ET DES AMENAGEMENTS COTIERS ET LAGUNAIRES</t>
  </si>
  <si>
    <t>RECRUTEMENT D'UN CONSULTANT INDIVIDUEL POUR L'ASSISTANCE TECHNIQUE ET LE CONSEIL DANS LE CADRE DES TRAVAUX DE CONSTRUCTION DE LA STEP</t>
  </si>
  <si>
    <t>RECRUTEMENT D'UN CONSULTANT INDIVIDUEL POUR L'EVALUATION DU SYSTÈME COMTABLE ET APPUI A LA CELLULE FINANCES ET COMPTABILITE</t>
  </si>
  <si>
    <t>RECONDUCTTION DU CONTRAT DU CONSULTANT  POUR L'EVALUATION DU SYSTÈME COMTABLE ET APPUI A LA CELLULE FINANCES ET COMPTABILITE</t>
  </si>
  <si>
    <t>RECRUTEMENT D'UN CONSULTANT INDIVIDUEL POUR L'ASSISTANCE ET CONSEIL DANS LE CADRE DES TRAVAUX DE CONSTRUCTION DU PONT A HAUBANS ET DE L'AMENAGEMENT DU CARREFOUR DE L'INDENIE</t>
  </si>
  <si>
    <t>RECRUTEMENT D'UN CONSULTANT INDIVIDUEL POUR UNE ASSISTANCE JURIDIQUE AU PABC</t>
  </si>
  <si>
    <t>RECONDUCTION DU CONTRAT CONSULTANT INDIVIDUEL POUR UNE ASSISTANCE JURIDIQUE AU PABC</t>
  </si>
  <si>
    <t>DIAGNOSTIC DES RESEAUX D'EAUX PLUVIALE D'EAUX USEES, ET ETUDES DETAILLES DES TRAVAUX PRIORITAIRES POUR LA SAUVEGARDE ET LA VALORISATION DE LA BAIE DE COCODY</t>
  </si>
  <si>
    <t>BNETD/CID</t>
  </si>
  <si>
    <t>PFO ARCHTECTE</t>
  </si>
  <si>
    <t>Groupement  ARTELIA EAU ET ENVIRONNEMENT/ARTELIA CI</t>
  </si>
  <si>
    <t>LCI/TEC4/YOOSHIN</t>
  </si>
  <si>
    <t>MARCHICA MED</t>
  </si>
  <si>
    <t>LBTP</t>
  </si>
  <si>
    <t>SAVADOGO NOAGA</t>
  </si>
  <si>
    <t>DJE KOUAME</t>
  </si>
  <si>
    <t>GOORE BI EUSTACHE</t>
  </si>
  <si>
    <t>KAMBO YAO SERGE-JEROME</t>
  </si>
  <si>
    <t>OGA SESS EMMANUEL</t>
  </si>
  <si>
    <t>KOUADIO YAO JACQUES ALPHONSE</t>
  </si>
  <si>
    <t>SEURECA</t>
  </si>
  <si>
    <t>En attente de retransmission du dossier</t>
  </si>
  <si>
    <t>A determiner</t>
  </si>
  <si>
    <t>01/08/203</t>
  </si>
  <si>
    <t xml:space="preserve">ASSISTANCE À LA MAÎTRISE D'OUVRAGE DANS LE CADRE DES TRAVAUX DU PABC (MARCHICAMED)
</t>
  </si>
  <si>
    <t xml:space="preserve">ETUDES, SUIVI ET CONTRÔLE DES TRAVAUX (MAITRISE D'ŒUVRE DU BNETD) DU PABC (BNETD/CID)
</t>
  </si>
  <si>
    <t>ETUDES SUR LA REHABILITATION DES BASSINS DE RETENTION DU LYCEE TECHNIQUE ET DE FRATERNITE MATIN</t>
  </si>
  <si>
    <t>ETUDES  DES TRAVAUX D’ELARGISSEMENT DU BOULEVARD LAGUNAIRE</t>
  </si>
  <si>
    <t>SUIVI ET CONTRÔLE DES TRAVAUX DE LA STEP</t>
  </si>
  <si>
    <t>ETUDE RELATIVE A L'OUVERTURE DE LA DIGUE DE KOUMASSI</t>
  </si>
  <si>
    <t>ETUDE RELATIVE A LA CONSTRUCTION DU BASSIN DE RETENTION DE BRACODY</t>
  </si>
  <si>
    <t>ETUDE RELATIVE A LA DEPOLLUTION DU PLAN D’EAU DE LA BAIE DE COCODY ET DU CANAL D’ANOUMABO ET DIAGNOSTIC DES RESEAUX D'EAUX PLUVIALES ET EAUX USEES</t>
  </si>
  <si>
    <t>Suivi et Contrôle des traitements de nuisances olfactives</t>
  </si>
  <si>
    <t xml:space="preserve">ASSISTANCE À LA MAÎTRISE D'OUVRAGE DANS LE CADRE DES TRAVAUX DE LA STEP 
</t>
  </si>
  <si>
    <t>ETUDE POUR LA MISE EN PLACE DE DROMES (BARRAGES FLOTTANTS) A GRAND-BASSAM POUR LA RETENTION DES VEGETAUX AQUATIQUES</t>
  </si>
  <si>
    <t>ETUDES DE VOIRIES</t>
  </si>
  <si>
    <t>A DETERMINER</t>
  </si>
  <si>
    <t>PLAN DE PASSATION DES MARCHES DE BIENS ET SERVICES : ANNEE 2024</t>
  </si>
  <si>
    <t>SUIVI ET CONTRÔLE DANS LE CADRE DES TRAVAUX DE DEPOLLUTION ET DE NUISANCES OLFACTIVES</t>
  </si>
  <si>
    <t>GULF CONSULT/LCI/SUEZ</t>
  </si>
  <si>
    <t xml:space="preserve"> ACTUALISATION DE L'ETUDE TECHNIQUE, DU DOSSIER DE CONSULTATION DES ENTREPRISES (DCE) et DE L'ETUDE D'IMPACT SUR L'ENVIRONNEMENT (EIE) DE A STATION D'EPURATION DES EAUX USEES AU NIVEAU DU MONUMENT DES MARTYRS </t>
  </si>
  <si>
    <t xml:space="preserve"> </t>
  </si>
  <si>
    <t>13/0/2024</t>
  </si>
  <si>
    <t>21/0/2024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</si>
</sst>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-* #,##0\ _C_F_A_-;\-* #,##0\ _C_F_A_-;_-* &quot;-&quot;\ _C_F_A_-;_-@_-"/>
    <numFmt numFmtId="165" formatCode="_-* #,##0.00\ _€_-;\-* #,##0.00\ _€_-;_-* &quot;-&quot;??\ _€_-;_-@_-"/>
    <numFmt numFmtId="166" formatCode="_-* #,##0\ _€_-;\-* #,##0\ _€_-;_-* &quot;-&quot;??\ _€_-;_-@_-"/>
    <numFmt numFmtId="167" formatCode="_-* #,##0_-;\-* #,##0_-;_-* &quot;-&quot;??_-;_-@_-"/>
    <numFmt numFmtId="168" formatCode="#,##0\ _€"/>
  </numFmts>
  <fonts count="3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1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b/>
      <sz val="22"/>
      <color theme="1"/>
      <name val="Century Gothic"/>
      <family val="2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8"/>
      <color theme="1"/>
      <name val="Century Gothic"/>
      <family val="2"/>
    </font>
    <font>
      <sz val="8"/>
      <color theme="1"/>
      <name val="Century Gothic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b/>
      <sz val="16"/>
      <color theme="1"/>
      <name val="Century Gothic"/>
      <family val="2"/>
    </font>
    <font>
      <sz val="12"/>
      <color theme="1"/>
      <name val="Century Gothic"/>
      <family val="2"/>
    </font>
    <font>
      <b/>
      <sz val="26"/>
      <color theme="1"/>
      <name val="Century Gothic"/>
      <family val="2"/>
    </font>
    <font>
      <b/>
      <sz val="10"/>
      <color theme="1"/>
      <name val="Calibri"/>
      <family val="2"/>
      <scheme val="minor"/>
    </font>
    <font>
      <sz val="8"/>
      <name val="Century Gothic"/>
      <family val="2"/>
    </font>
    <font>
      <b/>
      <sz val="8"/>
      <name val="Century Gothic"/>
      <family val="2"/>
    </font>
    <font>
      <b/>
      <sz val="8"/>
      <color rgb="FFFF0000"/>
      <name val="Century Gothic"/>
      <family val="2"/>
    </font>
    <font>
      <b/>
      <sz val="9"/>
      <name val="Calibri"/>
      <family val="2"/>
    </font>
    <font>
      <b/>
      <sz val="8"/>
      <name val="Calibri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2"/>
      <name val="Calibri"/>
      <family val="2"/>
      <scheme val="minor"/>
    </font>
    <font>
      <b/>
      <sz val="9"/>
      <name val="Century Gothic"/>
      <family val="2"/>
    </font>
    <font>
      <b/>
      <sz val="12"/>
      <name val="Century Gothic"/>
      <family val="2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234">
    <xf numFmtId="0" fontId="0" fillId="0" borderId="0" xfId="0"/>
    <xf numFmtId="0" fontId="0" fillId="0" borderId="0" xfId="0" applyAlignment="1">
      <alignment wrapText="1"/>
    </xf>
    <xf numFmtId="0" fontId="5" fillId="0" borderId="0" xfId="1" applyFont="1" applyAlignment="1">
      <alignment horizontal="center" vertical="center"/>
    </xf>
    <xf numFmtId="0" fontId="5" fillId="0" borderId="0" xfId="1" applyFont="1"/>
    <xf numFmtId="166" fontId="5" fillId="0" borderId="0" xfId="5" applyNumberFormat="1" applyFont="1"/>
    <xf numFmtId="0" fontId="5" fillId="0" borderId="0" xfId="1" applyFont="1" applyAlignment="1">
      <alignment wrapTex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wrapText="1"/>
    </xf>
    <xf numFmtId="166" fontId="10" fillId="0" borderId="0" xfId="4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6" fontId="10" fillId="0" borderId="0" xfId="0" applyNumberFormat="1" applyFont="1" applyAlignment="1">
      <alignment vertical="center"/>
    </xf>
    <xf numFmtId="0" fontId="11" fillId="0" borderId="0" xfId="0" applyFont="1"/>
    <xf numFmtId="0" fontId="1" fillId="0" borderId="0" xfId="0" applyFont="1"/>
    <xf numFmtId="0" fontId="12" fillId="0" borderId="1" xfId="0" applyFont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66" fontId="13" fillId="0" borderId="1" xfId="4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7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166" fontId="13" fillId="2" borderId="1" xfId="4" applyNumberFormat="1" applyFont="1" applyFill="1" applyBorder="1" applyAlignment="1">
      <alignment horizontal="center" vertical="center"/>
    </xf>
    <xf numFmtId="14" fontId="13" fillId="2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166" fontId="12" fillId="3" borderId="1" xfId="4" applyNumberFormat="1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66" fontId="13" fillId="0" borderId="4" xfId="4" applyNumberFormat="1" applyFont="1" applyFill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166" fontId="13" fillId="2" borderId="1" xfId="4" applyNumberFormat="1" applyFont="1" applyFill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14" fontId="13" fillId="2" borderId="1" xfId="0" applyNumberFormat="1" applyFont="1" applyFill="1" applyBorder="1" applyAlignment="1">
      <alignment horizontal="center" vertical="center" wrapText="1"/>
    </xf>
    <xf numFmtId="17" fontId="13" fillId="2" borderId="1" xfId="0" applyNumberFormat="1" applyFont="1" applyFill="1" applyBorder="1" applyAlignment="1">
      <alignment horizontal="center" vertical="center" wrapText="1"/>
    </xf>
    <xf numFmtId="166" fontId="13" fillId="0" borderId="1" xfId="4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6" fontId="13" fillId="2" borderId="4" xfId="4" applyNumberFormat="1" applyFont="1" applyFill="1" applyBorder="1" applyAlignment="1">
      <alignment horizontal="center" vertical="center"/>
    </xf>
    <xf numFmtId="0" fontId="0" fillId="2" borderId="0" xfId="0" applyFill="1"/>
    <xf numFmtId="166" fontId="12" fillId="2" borderId="1" xfId="0" applyNumberFormat="1" applyFont="1" applyFill="1" applyBorder="1" applyAlignment="1">
      <alignment horizontal="center" vertical="center" wrapText="1"/>
    </xf>
    <xf numFmtId="14" fontId="13" fillId="4" borderId="1" xfId="0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166" fontId="12" fillId="2" borderId="4" xfId="0" applyNumberFormat="1" applyFont="1" applyFill="1" applyBorder="1" applyAlignment="1">
      <alignment horizontal="center" vertical="center" wrapText="1"/>
    </xf>
    <xf numFmtId="166" fontId="12" fillId="0" borderId="4" xfId="0" applyNumberFormat="1" applyFont="1" applyBorder="1" applyAlignment="1">
      <alignment horizontal="center" vertical="center" wrapText="1"/>
    </xf>
    <xf numFmtId="0" fontId="7" fillId="0" borderId="1" xfId="0" applyFont="1" applyBorder="1"/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166" fontId="8" fillId="2" borderId="1" xfId="4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3" fillId="0" borderId="0" xfId="0" applyFont="1" applyAlignment="1">
      <alignment wrapText="1"/>
    </xf>
    <xf numFmtId="0" fontId="6" fillId="0" borderId="0" xfId="1" applyFont="1" applyAlignment="1">
      <alignment horizontal="center" wrapText="1"/>
    </xf>
    <xf numFmtId="0" fontId="5" fillId="0" borderId="0" xfId="1" applyFont="1" applyAlignment="1">
      <alignment horizontal="center" wrapText="1"/>
    </xf>
    <xf numFmtId="0" fontId="16" fillId="0" borderId="0" xfId="1" applyFont="1"/>
    <xf numFmtId="0" fontId="6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166" fontId="13" fillId="0" borderId="4" xfId="4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 wrapText="1"/>
    </xf>
    <xf numFmtId="0" fontId="13" fillId="0" borderId="0" xfId="1" applyFont="1" applyAlignment="1">
      <alignment horizontal="center" vertical="center"/>
    </xf>
    <xf numFmtId="0" fontId="14" fillId="0" borderId="0" xfId="0" applyFont="1"/>
    <xf numFmtId="0" fontId="13" fillId="0" borderId="0" xfId="1" applyFont="1" applyAlignment="1">
      <alignment horizontal="center"/>
    </xf>
    <xf numFmtId="0" fontId="13" fillId="0" borderId="0" xfId="1" applyFont="1" applyAlignment="1">
      <alignment horizontal="center" vertical="center" wrapText="1"/>
    </xf>
    <xf numFmtId="0" fontId="13" fillId="0" borderId="0" xfId="1" applyFont="1" applyAlignment="1">
      <alignment horizontal="center" wrapText="1"/>
    </xf>
    <xf numFmtId="166" fontId="13" fillId="0" borderId="0" xfId="5" applyNumberFormat="1" applyFont="1" applyAlignment="1">
      <alignment horizontal="center"/>
    </xf>
    <xf numFmtId="0" fontId="13" fillId="2" borderId="0" xfId="1" applyFont="1" applyFill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/>
    </xf>
    <xf numFmtId="166" fontId="13" fillId="0" borderId="7" xfId="5" applyNumberFormat="1" applyFont="1" applyBorder="1" applyAlignment="1">
      <alignment horizontal="center"/>
    </xf>
    <xf numFmtId="0" fontId="13" fillId="0" borderId="7" xfId="1" applyFont="1" applyBorder="1" applyAlignment="1">
      <alignment horizontal="center" vertical="center" wrapText="1"/>
    </xf>
    <xf numFmtId="0" fontId="13" fillId="0" borderId="7" xfId="1" applyFont="1" applyBorder="1" applyAlignment="1">
      <alignment horizontal="center" wrapText="1"/>
    </xf>
    <xf numFmtId="0" fontId="13" fillId="0" borderId="6" xfId="1" applyFont="1" applyBorder="1" applyAlignment="1">
      <alignment horizontal="center"/>
    </xf>
    <xf numFmtId="0" fontId="12" fillId="0" borderId="1" xfId="1" applyFont="1" applyBorder="1" applyAlignment="1">
      <alignment horizontal="center" vertical="center" wrapText="1"/>
    </xf>
    <xf numFmtId="166" fontId="12" fillId="0" borderId="1" xfId="5" applyNumberFormat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1" xfId="5" applyNumberFormat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 wrapText="1"/>
    </xf>
    <xf numFmtId="0" fontId="19" fillId="3" borderId="0" xfId="0" applyFont="1" applyFill="1"/>
    <xf numFmtId="0" fontId="13" fillId="3" borderId="0" xfId="0" applyFont="1" applyFill="1" applyAlignment="1">
      <alignment wrapText="1"/>
    </xf>
    <xf numFmtId="0" fontId="5" fillId="3" borderId="0" xfId="1" applyFont="1" applyFill="1"/>
    <xf numFmtId="0" fontId="0" fillId="3" borderId="0" xfId="0" applyFill="1"/>
    <xf numFmtId="0" fontId="13" fillId="0" borderId="0" xfId="0" applyFont="1" applyAlignment="1">
      <alignment horizontal="center" vertical="center"/>
    </xf>
    <xf numFmtId="0" fontId="12" fillId="4" borderId="1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vertical="center"/>
    </xf>
    <xf numFmtId="0" fontId="13" fillId="2" borderId="1" xfId="0" applyFont="1" applyFill="1" applyBorder="1" applyAlignment="1">
      <alignment horizontal="left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/>
    </xf>
    <xf numFmtId="0" fontId="13" fillId="2" borderId="1" xfId="0" applyFont="1" applyFill="1" applyBorder="1" applyAlignment="1">
      <alignment vertical="center" wrapText="1"/>
    </xf>
    <xf numFmtId="3" fontId="12" fillId="2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3" fontId="23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167" fontId="12" fillId="2" borderId="1" xfId="4" applyNumberFormat="1" applyFont="1" applyFill="1" applyBorder="1" applyAlignment="1">
      <alignment horizontal="center" vertical="center" wrapText="1"/>
    </xf>
    <xf numFmtId="167" fontId="12" fillId="2" borderId="5" xfId="4" applyNumberFormat="1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14" fontId="13" fillId="4" borderId="4" xfId="0" applyNumberFormat="1" applyFont="1" applyFill="1" applyBorder="1" applyAlignment="1">
      <alignment horizontal="center" vertical="center"/>
    </xf>
    <xf numFmtId="14" fontId="13" fillId="4" borderId="1" xfId="0" applyNumberFormat="1" applyFont="1" applyFill="1" applyBorder="1" applyAlignment="1">
      <alignment horizontal="center" vertical="center" wrapText="1"/>
    </xf>
    <xf numFmtId="14" fontId="13" fillId="2" borderId="5" xfId="0" applyNumberFormat="1" applyFont="1" applyFill="1" applyBorder="1" applyAlignment="1">
      <alignment horizontal="center" vertical="center" wrapText="1"/>
    </xf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2" fillId="2" borderId="1" xfId="0" applyFont="1" applyFill="1" applyBorder="1" applyAlignment="1">
      <alignment wrapText="1"/>
    </xf>
    <xf numFmtId="0" fontId="13" fillId="0" borderId="8" xfId="0" applyFont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 wrapText="1"/>
    </xf>
    <xf numFmtId="1" fontId="13" fillId="2" borderId="5" xfId="0" applyNumberFormat="1" applyFont="1" applyFill="1" applyBorder="1" applyAlignment="1">
      <alignment horizontal="center" vertical="center" wrapText="1"/>
    </xf>
    <xf numFmtId="1" fontId="13" fillId="2" borderId="14" xfId="0" applyNumberFormat="1" applyFont="1" applyFill="1" applyBorder="1" applyAlignment="1">
      <alignment horizontal="center" vertical="center" wrapText="1"/>
    </xf>
    <xf numFmtId="167" fontId="12" fillId="2" borderId="14" xfId="4" applyNumberFormat="1" applyFont="1" applyFill="1" applyBorder="1" applyAlignment="1">
      <alignment horizontal="center" vertical="center" wrapText="1"/>
    </xf>
    <xf numFmtId="167" fontId="13" fillId="2" borderId="1" xfId="4" applyNumberFormat="1" applyFont="1" applyFill="1" applyBorder="1" applyAlignment="1">
      <alignment horizontal="center" vertical="center" wrapText="1"/>
    </xf>
    <xf numFmtId="167" fontId="13" fillId="2" borderId="5" xfId="4" applyNumberFormat="1" applyFont="1" applyFill="1" applyBorder="1" applyAlignment="1">
      <alignment horizontal="center" vertical="center" wrapText="1"/>
    </xf>
    <xf numFmtId="167" fontId="13" fillId="2" borderId="14" xfId="4" applyNumberFormat="1" applyFont="1" applyFill="1" applyBorder="1" applyAlignment="1">
      <alignment horizontal="center" vertical="center" wrapText="1"/>
    </xf>
    <xf numFmtId="166" fontId="12" fillId="2" borderId="1" xfId="4" applyNumberFormat="1" applyFont="1" applyFill="1" applyBorder="1" applyAlignment="1">
      <alignment horizontal="center" vertical="center"/>
    </xf>
    <xf numFmtId="166" fontId="12" fillId="2" borderId="1" xfId="4" applyNumberFormat="1" applyFont="1" applyFill="1" applyBorder="1" applyAlignment="1">
      <alignment horizontal="center" vertical="center" wrapText="1"/>
    </xf>
    <xf numFmtId="166" fontId="12" fillId="2" borderId="5" xfId="4" applyNumberFormat="1" applyFont="1" applyFill="1" applyBorder="1" applyAlignment="1">
      <alignment horizontal="center" vertical="center" wrapText="1"/>
    </xf>
    <xf numFmtId="166" fontId="12" fillId="2" borderId="14" xfId="4" applyNumberFormat="1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14" fontId="13" fillId="2" borderId="14" xfId="0" applyNumberFormat="1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/>
    </xf>
    <xf numFmtId="14" fontId="13" fillId="4" borderId="1" xfId="1" applyNumberFormat="1" applyFont="1" applyFill="1" applyBorder="1" applyAlignment="1">
      <alignment horizontal="center" vertical="center"/>
    </xf>
    <xf numFmtId="0" fontId="13" fillId="4" borderId="1" xfId="1" applyFont="1" applyFill="1" applyBorder="1" applyAlignment="1">
      <alignment horizontal="center" vertical="center" wrapText="1"/>
    </xf>
    <xf numFmtId="0" fontId="13" fillId="4" borderId="1" xfId="1" applyFont="1" applyFill="1" applyBorder="1" applyAlignment="1">
      <alignment horizontal="center" vertical="center"/>
    </xf>
    <xf numFmtId="14" fontId="13" fillId="4" borderId="1" xfId="1" applyNumberFormat="1" applyFont="1" applyFill="1" applyBorder="1" applyAlignment="1">
      <alignment horizontal="center" vertical="center" wrapText="1"/>
    </xf>
    <xf numFmtId="0" fontId="17" fillId="4" borderId="1" xfId="1" applyFont="1" applyFill="1" applyBorder="1" applyAlignment="1">
      <alignment horizontal="center" vertical="center"/>
    </xf>
    <xf numFmtId="0" fontId="17" fillId="4" borderId="1" xfId="1" applyFont="1" applyFill="1" applyBorder="1" applyAlignment="1">
      <alignment horizontal="center"/>
    </xf>
    <xf numFmtId="0" fontId="17" fillId="4" borderId="1" xfId="1" applyFont="1" applyFill="1" applyBorder="1" applyAlignment="1">
      <alignment horizont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13" fillId="0" borderId="5" xfId="0" applyFont="1" applyBorder="1" applyAlignment="1">
      <alignment horizontal="center" vertical="center" wrapText="1"/>
    </xf>
    <xf numFmtId="168" fontId="13" fillId="0" borderId="1" xfId="6" applyNumberFormat="1" applyFont="1" applyFill="1" applyBorder="1" applyAlignment="1">
      <alignment vertical="center"/>
    </xf>
    <xf numFmtId="0" fontId="22" fillId="0" borderId="1" xfId="0" applyFont="1" applyBorder="1" applyAlignment="1">
      <alignment vertical="top" wrapText="1"/>
    </xf>
    <xf numFmtId="168" fontId="22" fillId="0" borderId="1" xfId="6" applyNumberFormat="1" applyFont="1" applyFill="1" applyBorder="1" applyAlignment="1">
      <alignment vertical="center"/>
    </xf>
    <xf numFmtId="0" fontId="22" fillId="0" borderId="5" xfId="0" applyFont="1" applyBorder="1" applyAlignment="1">
      <alignment horizontal="center" vertical="center" wrapText="1"/>
    </xf>
    <xf numFmtId="168" fontId="22" fillId="2" borderId="1" xfId="6" applyNumberFormat="1" applyFont="1" applyFill="1" applyBorder="1" applyAlignment="1">
      <alignment vertical="center"/>
    </xf>
    <xf numFmtId="0" fontId="13" fillId="5" borderId="4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vertical="top" wrapText="1"/>
    </xf>
    <xf numFmtId="0" fontId="22" fillId="5" borderId="4" xfId="0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168" fontId="22" fillId="5" borderId="1" xfId="6" applyNumberFormat="1" applyFont="1" applyFill="1" applyBorder="1" applyAlignment="1">
      <alignment vertical="center"/>
    </xf>
    <xf numFmtId="166" fontId="13" fillId="5" borderId="4" xfId="4" applyNumberFormat="1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vertical="center" wrapText="1"/>
    </xf>
    <xf numFmtId="0" fontId="10" fillId="5" borderId="0" xfId="0" applyFont="1" applyFill="1"/>
    <xf numFmtId="0" fontId="13" fillId="5" borderId="1" xfId="0" applyFont="1" applyFill="1" applyBorder="1" applyAlignment="1">
      <alignment horizontal="center" vertical="center" wrapText="1"/>
    </xf>
    <xf numFmtId="1" fontId="13" fillId="5" borderId="1" xfId="0" applyNumberFormat="1" applyFont="1" applyFill="1" applyBorder="1" applyAlignment="1">
      <alignment horizontal="center" vertical="center" wrapText="1"/>
    </xf>
    <xf numFmtId="167" fontId="13" fillId="5" borderId="1" xfId="4" applyNumberFormat="1" applyFont="1" applyFill="1" applyBorder="1" applyAlignment="1">
      <alignment horizontal="center" vertical="center" wrapText="1"/>
    </xf>
    <xf numFmtId="166" fontId="12" fillId="5" borderId="1" xfId="4" applyNumberFormat="1" applyFont="1" applyFill="1" applyBorder="1" applyAlignment="1">
      <alignment horizontal="center" vertical="center" wrapText="1"/>
    </xf>
    <xf numFmtId="167" fontId="12" fillId="5" borderId="1" xfId="4" applyNumberFormat="1" applyFont="1" applyFill="1" applyBorder="1" applyAlignment="1">
      <alignment horizontal="center" vertical="center" wrapText="1"/>
    </xf>
    <xf numFmtId="14" fontId="13" fillId="5" borderId="4" xfId="0" applyNumberFormat="1" applyFont="1" applyFill="1" applyBorder="1" applyAlignment="1">
      <alignment horizontal="center" vertical="center"/>
    </xf>
    <xf numFmtId="14" fontId="13" fillId="5" borderId="1" xfId="0" applyNumberFormat="1" applyFont="1" applyFill="1" applyBorder="1" applyAlignment="1">
      <alignment horizontal="center" vertical="center" wrapText="1"/>
    </xf>
    <xf numFmtId="0" fontId="0" fillId="5" borderId="0" xfId="0" applyFill="1"/>
    <xf numFmtId="0" fontId="13" fillId="5" borderId="1" xfId="0" applyFont="1" applyFill="1" applyBorder="1" applyAlignment="1">
      <alignment horizontal="center" vertical="center"/>
    </xf>
    <xf numFmtId="166" fontId="13" fillId="5" borderId="1" xfId="4" applyNumberFormat="1" applyFont="1" applyFill="1" applyBorder="1" applyAlignment="1">
      <alignment horizontal="center" vertical="center"/>
    </xf>
    <xf numFmtId="166" fontId="12" fillId="5" borderId="1" xfId="4" applyNumberFormat="1" applyFont="1" applyFill="1" applyBorder="1" applyAlignment="1">
      <alignment horizontal="center" vertical="center"/>
    </xf>
    <xf numFmtId="14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23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28" fillId="0" borderId="0" xfId="0" applyFont="1"/>
    <xf numFmtId="0" fontId="29" fillId="0" borderId="0" xfId="0" applyFont="1"/>
    <xf numFmtId="0" fontId="23" fillId="2" borderId="1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167" fontId="23" fillId="2" borderId="1" xfId="4" applyNumberFormat="1" applyFont="1" applyFill="1" applyBorder="1" applyAlignment="1">
      <alignment horizontal="center" vertical="center" wrapText="1"/>
    </xf>
    <xf numFmtId="167" fontId="23" fillId="2" borderId="5" xfId="4" applyNumberFormat="1" applyFont="1" applyFill="1" applyBorder="1" applyAlignment="1">
      <alignment horizontal="center" vertical="center" wrapText="1"/>
    </xf>
    <xf numFmtId="0" fontId="31" fillId="0" borderId="0" xfId="0" applyFont="1"/>
    <xf numFmtId="14" fontId="23" fillId="2" borderId="1" xfId="0" applyNumberFormat="1" applyFont="1" applyFill="1" applyBorder="1" applyAlignment="1">
      <alignment horizontal="center" vertical="center" wrapText="1"/>
    </xf>
    <xf numFmtId="0" fontId="32" fillId="2" borderId="0" xfId="0" applyFont="1" applyFill="1"/>
    <xf numFmtId="0" fontId="32" fillId="0" borderId="0" xfId="0" applyFont="1"/>
    <xf numFmtId="0" fontId="26" fillId="0" borderId="5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top" wrapText="1"/>
    </xf>
    <xf numFmtId="168" fontId="23" fillId="2" borderId="1" xfId="0" applyNumberFormat="1" applyFont="1" applyFill="1" applyBorder="1" applyAlignment="1">
      <alignment horizontal="right" vertical="center"/>
    </xf>
    <xf numFmtId="168" fontId="12" fillId="2" borderId="1" xfId="0" applyNumberFormat="1" applyFont="1" applyFill="1" applyBorder="1" applyAlignment="1">
      <alignment vertical="center"/>
    </xf>
    <xf numFmtId="168" fontId="8" fillId="2" borderId="1" xfId="0" applyNumberFormat="1" applyFont="1" applyFill="1" applyBorder="1" applyAlignment="1">
      <alignment vertical="center"/>
    </xf>
    <xf numFmtId="0" fontId="28" fillId="2" borderId="0" xfId="0" applyFont="1" applyFill="1"/>
    <xf numFmtId="166" fontId="12" fillId="2" borderId="4" xfId="4" applyNumberFormat="1" applyFont="1" applyFill="1" applyBorder="1" applyAlignment="1">
      <alignment horizontal="center" vertical="center"/>
    </xf>
    <xf numFmtId="168" fontId="23" fillId="0" borderId="1" xfId="6" applyNumberFormat="1" applyFont="1" applyFill="1" applyBorder="1" applyAlignment="1">
      <alignment vertical="center"/>
    </xf>
    <xf numFmtId="168" fontId="23" fillId="4" borderId="1" xfId="6" applyNumberFormat="1" applyFont="1" applyFill="1" applyBorder="1" applyAlignment="1">
      <alignment vertical="center"/>
    </xf>
    <xf numFmtId="168" fontId="12" fillId="0" borderId="1" xfId="6" applyNumberFormat="1" applyFont="1" applyFill="1" applyBorder="1" applyAlignment="1">
      <alignment vertical="center"/>
    </xf>
    <xf numFmtId="168" fontId="23" fillId="2" borderId="1" xfId="6" applyNumberFormat="1" applyFont="1" applyFill="1" applyBorder="1" applyAlignment="1">
      <alignment vertical="center"/>
    </xf>
    <xf numFmtId="168" fontId="30" fillId="0" borderId="1" xfId="6" applyNumberFormat="1" applyFont="1" applyFill="1" applyBorder="1" applyAlignment="1">
      <alignment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8" fillId="3" borderId="9" xfId="1" applyFont="1" applyFill="1" applyBorder="1" applyAlignment="1">
      <alignment vertical="center"/>
    </xf>
    <xf numFmtId="0" fontId="18" fillId="3" borderId="10" xfId="1" applyFont="1" applyFill="1" applyBorder="1" applyAlignment="1">
      <alignment vertical="center"/>
    </xf>
    <xf numFmtId="0" fontId="18" fillId="3" borderId="8" xfId="1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9" fillId="3" borderId="10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</cellXfs>
  <cellStyles count="7">
    <cellStyle name="Milliers" xfId="4" builtinId="3"/>
    <cellStyle name="Milliers [0]" xfId="6" builtinId="6"/>
    <cellStyle name="Milliers [0] 2" xfId="3" xr:uid="{00000000-0005-0000-0000-000001000000}"/>
    <cellStyle name="Milliers 2" xfId="2" xr:uid="{00000000-0005-0000-0000-000002000000}"/>
    <cellStyle name="Milliers 3" xfId="5" xr:uid="{00000000-0005-0000-0000-000003000000}"/>
    <cellStyle name="Normal" xfId="0" builtinId="0"/>
    <cellStyle name="Normal 2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123825</xdr:colOff>
      <xdr:row>0</xdr:row>
      <xdr:rowOff>0</xdr:rowOff>
    </xdr:from>
    <xdr:to>
      <xdr:col>2</xdr:col>
      <xdr:colOff>2381250</xdr:colOff>
      <xdr:row>5</xdr:row>
      <xdr:rowOff>2540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8359DE6-23FD-4C6E-9BDD-570BB6553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0"/>
          <a:ext cx="2257425" cy="10388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257175</xdr:colOff>
      <xdr:row>0</xdr:row>
      <xdr:rowOff>0</xdr:rowOff>
    </xdr:from>
    <xdr:to>
      <xdr:col>2</xdr:col>
      <xdr:colOff>2919730</xdr:colOff>
      <xdr:row>5</xdr:row>
      <xdr:rowOff>2540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750D9D2-0AD7-4045-A364-2D158CCB0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0"/>
          <a:ext cx="2662555" cy="10388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2</xdr:col>
      <xdr:colOff>2362201</xdr:colOff>
      <xdr:row>5</xdr:row>
      <xdr:rowOff>3810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54A3FBC-44CA-4F84-AF99-B321128E3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1" y="0"/>
          <a:ext cx="2362200" cy="10388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C8077-BE6E-4C4F-9D84-D131406432E1}">
  <sheetPr>
    <pageSetUpPr fitToPage="1"/>
  </sheetPr>
  <dimension ref="A6:V57"/>
  <sheetViews>
    <sheetView topLeftCell="A5" zoomScaleNormal="100" workbookViewId="0">
      <selection activeCell="B8" sqref="B8:U8"/>
    </sheetView>
  </sheetViews>
  <sheetFormatPr baseColWidth="10" defaultRowHeight="15.6" x14ac:dyDescent="0.3"/>
  <cols>
    <col min="1" max="1" width="2.69921875" bestFit="1" customWidth="1"/>
    <col min="2" max="2" width="15" bestFit="1" customWidth="1"/>
    <col min="3" max="3" width="35.5" style="179" customWidth="1"/>
    <col min="4" max="4" width="12.5" style="180" customWidth="1"/>
    <col min="5" max="5" width="11.19921875" style="195" bestFit="1" customWidth="1"/>
    <col min="6" max="6" width="11.09765625" style="194" customWidth="1"/>
    <col min="7" max="7" width="12.69921875" style="192" customWidth="1"/>
    <col min="8" max="8" width="15.69921875" style="201" bestFit="1" customWidth="1"/>
    <col min="9" max="9" width="15.09765625" bestFit="1" customWidth="1"/>
    <col min="10" max="10" width="14.3984375" bestFit="1" customWidth="1"/>
    <col min="11" max="11" width="15.09765625" bestFit="1" customWidth="1"/>
    <col min="12" max="12" width="9.8984375" hidden="1" customWidth="1"/>
    <col min="13" max="13" width="11.19921875" hidden="1" customWidth="1"/>
    <col min="14" max="14" width="10.59765625" hidden="1" customWidth="1"/>
    <col min="15" max="15" width="11.19921875" hidden="1" customWidth="1"/>
    <col min="16" max="16" width="8.09765625" hidden="1" customWidth="1"/>
    <col min="17" max="17" width="10.59765625" hidden="1" customWidth="1"/>
    <col min="18" max="19" width="13.3984375" hidden="1" customWidth="1"/>
    <col min="20" max="20" width="12.19921875" style="116" hidden="1" customWidth="1"/>
    <col min="21" max="21" width="12.5" style="45" hidden="1" customWidth="1"/>
    <col min="22" max="22" width="35.09765625" style="117" customWidth="1"/>
  </cols>
  <sheetData>
    <row r="6" spans="1:22" x14ac:dyDescent="0.3">
      <c r="C6" s="214" t="s">
        <v>78</v>
      </c>
    </row>
    <row r="7" spans="1:22" ht="34.5" customHeight="1" x14ac:dyDescent="0.3">
      <c r="B7" s="90"/>
      <c r="C7" s="215"/>
    </row>
    <row r="8" spans="1:22" s="86" customFormat="1" ht="31.2" x14ac:dyDescent="0.45">
      <c r="B8" s="216" t="s">
        <v>80</v>
      </c>
      <c r="C8" s="216"/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6"/>
      <c r="U8" s="216"/>
      <c r="V8" s="117"/>
    </row>
    <row r="10" spans="1:22" ht="30.6" x14ac:dyDescent="0.3">
      <c r="A10" s="208" t="s">
        <v>18</v>
      </c>
      <c r="B10" s="210" t="s">
        <v>3</v>
      </c>
      <c r="C10" s="210" t="s">
        <v>44</v>
      </c>
      <c r="D10" s="212" t="s">
        <v>1</v>
      </c>
      <c r="E10" s="212" t="s">
        <v>11</v>
      </c>
      <c r="F10" s="220" t="s">
        <v>32</v>
      </c>
      <c r="G10" s="212" t="s">
        <v>53</v>
      </c>
      <c r="H10" s="46" t="s">
        <v>65</v>
      </c>
      <c r="I10" s="20" t="s">
        <v>66</v>
      </c>
      <c r="J10" s="20" t="s">
        <v>70</v>
      </c>
      <c r="K10" s="20" t="s">
        <v>77</v>
      </c>
      <c r="L10" s="217" t="s">
        <v>49</v>
      </c>
      <c r="M10" s="218"/>
      <c r="N10" s="219"/>
      <c r="O10" s="217" t="s">
        <v>48</v>
      </c>
      <c r="P10" s="218"/>
      <c r="Q10" s="219"/>
      <c r="R10" s="19" t="s">
        <v>43</v>
      </c>
      <c r="S10" s="19" t="s">
        <v>31</v>
      </c>
      <c r="T10" s="102" t="s">
        <v>140</v>
      </c>
      <c r="U10" s="102" t="s">
        <v>52</v>
      </c>
      <c r="V10" s="102" t="s">
        <v>45</v>
      </c>
    </row>
    <row r="11" spans="1:22" ht="20.399999999999999" x14ac:dyDescent="0.3">
      <c r="A11" s="209"/>
      <c r="B11" s="211"/>
      <c r="C11" s="211"/>
      <c r="D11" s="213"/>
      <c r="E11" s="213"/>
      <c r="F11" s="221"/>
      <c r="G11" s="213"/>
      <c r="H11" s="49" t="s">
        <v>64</v>
      </c>
      <c r="I11" s="50" t="s">
        <v>64</v>
      </c>
      <c r="J11" s="50" t="s">
        <v>64</v>
      </c>
      <c r="K11" s="50" t="s">
        <v>64</v>
      </c>
      <c r="L11" s="48" t="s">
        <v>69</v>
      </c>
      <c r="M11" s="48" t="s">
        <v>47</v>
      </c>
      <c r="N11" s="19" t="s">
        <v>51</v>
      </c>
      <c r="O11" s="48" t="s">
        <v>68</v>
      </c>
      <c r="P11" s="48" t="s">
        <v>67</v>
      </c>
      <c r="Q11" s="19" t="s">
        <v>50</v>
      </c>
      <c r="R11" s="48"/>
      <c r="S11" s="48"/>
      <c r="T11" s="112"/>
      <c r="U11" s="102"/>
      <c r="V11" s="102"/>
    </row>
    <row r="12" spans="1:22" ht="20.399999999999999" x14ac:dyDescent="0.3">
      <c r="A12" s="33">
        <v>1</v>
      </c>
      <c r="B12" s="34" t="s">
        <v>8</v>
      </c>
      <c r="C12" s="102" t="s">
        <v>121</v>
      </c>
      <c r="D12" s="181" t="s">
        <v>0</v>
      </c>
      <c r="E12" s="181">
        <v>2341</v>
      </c>
      <c r="F12" s="188" t="s">
        <v>33</v>
      </c>
      <c r="G12" s="190" t="s">
        <v>30</v>
      </c>
      <c r="H12" s="202">
        <v>110000000000</v>
      </c>
      <c r="I12" s="36">
        <v>77441179457</v>
      </c>
      <c r="J12" s="110">
        <v>20000000000</v>
      </c>
      <c r="K12" s="36">
        <f>I12+J12</f>
        <v>97441179457</v>
      </c>
      <c r="L12" s="113">
        <v>43412</v>
      </c>
      <c r="M12" s="113">
        <v>43468</v>
      </c>
      <c r="N12" s="113">
        <v>43524</v>
      </c>
      <c r="O12" s="40" t="s">
        <v>139</v>
      </c>
      <c r="P12" s="37"/>
      <c r="Q12" s="40" t="s">
        <v>139</v>
      </c>
      <c r="R12" s="37">
        <v>43819</v>
      </c>
      <c r="S12" s="37">
        <v>44558</v>
      </c>
      <c r="T12" s="40" t="s">
        <v>139</v>
      </c>
      <c r="U12" s="40" t="s">
        <v>139</v>
      </c>
      <c r="V12" s="143" t="s">
        <v>141</v>
      </c>
    </row>
    <row r="13" spans="1:22" ht="20.399999999999999" x14ac:dyDescent="0.3">
      <c r="A13" s="43">
        <v>2</v>
      </c>
      <c r="B13" s="21" t="s">
        <v>8</v>
      </c>
      <c r="C13" s="102" t="s">
        <v>122</v>
      </c>
      <c r="D13" s="181" t="s">
        <v>134</v>
      </c>
      <c r="E13" s="181">
        <v>2342</v>
      </c>
      <c r="F13" s="106" t="s">
        <v>213</v>
      </c>
      <c r="G13" s="190" t="s">
        <v>35</v>
      </c>
      <c r="H13" s="129">
        <f>32.98*1000000000</f>
        <v>32979999999.999996</v>
      </c>
      <c r="I13" s="42">
        <v>32978551331</v>
      </c>
      <c r="J13" s="110">
        <v>4500000000</v>
      </c>
      <c r="K13" s="36">
        <f t="shared" ref="K13:K14" si="0">I13+J13</f>
        <v>37478551331</v>
      </c>
      <c r="L13" s="29"/>
      <c r="M13" s="29" t="s">
        <v>55</v>
      </c>
      <c r="N13" s="47" t="s">
        <v>15</v>
      </c>
      <c r="O13" s="40">
        <v>44924</v>
      </c>
      <c r="P13" s="23"/>
      <c r="Q13" s="40">
        <v>45005</v>
      </c>
      <c r="R13" s="47" t="s">
        <v>15</v>
      </c>
      <c r="S13" s="47" t="s">
        <v>15</v>
      </c>
      <c r="T13" s="40">
        <v>44566</v>
      </c>
      <c r="U13" s="40">
        <v>45046</v>
      </c>
      <c r="V13" s="143" t="s">
        <v>142</v>
      </c>
    </row>
    <row r="14" spans="1:22" s="45" customFormat="1" ht="20.399999999999999" x14ac:dyDescent="0.3">
      <c r="A14" s="21">
        <v>3</v>
      </c>
      <c r="B14" s="25" t="s">
        <v>8</v>
      </c>
      <c r="C14" s="102" t="s">
        <v>123</v>
      </c>
      <c r="D14" s="181" t="s">
        <v>134</v>
      </c>
      <c r="E14" s="181">
        <v>2344</v>
      </c>
      <c r="F14" s="106" t="s">
        <v>34</v>
      </c>
      <c r="G14" s="190" t="s">
        <v>35</v>
      </c>
      <c r="H14" s="129">
        <v>29700000000</v>
      </c>
      <c r="I14" s="27">
        <v>23909609300</v>
      </c>
      <c r="J14" s="110">
        <v>3413393735</v>
      </c>
      <c r="K14" s="44">
        <f t="shared" si="0"/>
        <v>27323003035</v>
      </c>
      <c r="L14" s="47">
        <v>43595</v>
      </c>
      <c r="M14" s="47">
        <v>43605</v>
      </c>
      <c r="N14" s="47">
        <v>43676</v>
      </c>
      <c r="O14" s="40" t="s">
        <v>139</v>
      </c>
      <c r="P14" s="28"/>
      <c r="Q14" s="40" t="s">
        <v>139</v>
      </c>
      <c r="R14" s="28">
        <v>43676</v>
      </c>
      <c r="S14" s="28">
        <v>44522</v>
      </c>
      <c r="T14" s="40" t="s">
        <v>139</v>
      </c>
      <c r="U14" s="40" t="s">
        <v>139</v>
      </c>
      <c r="V14" s="143"/>
    </row>
    <row r="15" spans="1:22" ht="40.799999999999997" x14ac:dyDescent="0.3">
      <c r="A15" s="21">
        <v>4</v>
      </c>
      <c r="B15" s="21" t="s">
        <v>8</v>
      </c>
      <c r="C15" s="102" t="s">
        <v>124</v>
      </c>
      <c r="D15" s="181" t="s">
        <v>134</v>
      </c>
      <c r="E15" s="181">
        <v>2344</v>
      </c>
      <c r="F15" s="106" t="s">
        <v>37</v>
      </c>
      <c r="G15" s="190" t="s">
        <v>35</v>
      </c>
      <c r="H15" s="129">
        <f>(20+8.5+2.5)*597*1000000</f>
        <v>18507000000</v>
      </c>
      <c r="I15" s="22">
        <v>21654416180</v>
      </c>
      <c r="J15" s="110">
        <v>27000000000</v>
      </c>
      <c r="K15" s="44"/>
      <c r="L15" s="47">
        <v>43675</v>
      </c>
      <c r="M15" s="47">
        <v>43747</v>
      </c>
      <c r="N15" s="114">
        <v>43802</v>
      </c>
      <c r="O15" s="40" t="s">
        <v>139</v>
      </c>
      <c r="P15" s="23"/>
      <c r="Q15" s="40" t="s">
        <v>139</v>
      </c>
      <c r="R15" s="39">
        <v>43802</v>
      </c>
      <c r="S15" s="39"/>
      <c r="T15" s="40" t="s">
        <v>139</v>
      </c>
      <c r="U15" s="40" t="s">
        <v>139</v>
      </c>
      <c r="V15" s="143" t="s">
        <v>143</v>
      </c>
    </row>
    <row r="16" spans="1:22" ht="30.6" x14ac:dyDescent="0.3">
      <c r="A16" s="33">
        <v>5</v>
      </c>
      <c r="B16" s="21" t="s">
        <v>10</v>
      </c>
      <c r="C16" s="102" t="s">
        <v>125</v>
      </c>
      <c r="D16" s="181" t="s">
        <v>134</v>
      </c>
      <c r="E16" s="181">
        <v>2344</v>
      </c>
      <c r="F16" s="106" t="s">
        <v>33</v>
      </c>
      <c r="G16" s="190" t="s">
        <v>40</v>
      </c>
      <c r="H16" s="129">
        <v>7000000000</v>
      </c>
      <c r="I16" s="22">
        <v>5607826095</v>
      </c>
      <c r="J16" s="110">
        <v>174926116</v>
      </c>
      <c r="K16" s="36"/>
      <c r="L16" s="114">
        <v>43714</v>
      </c>
      <c r="M16" s="47">
        <v>43735</v>
      </c>
      <c r="N16" s="47">
        <v>43754</v>
      </c>
      <c r="O16" s="40">
        <v>45098</v>
      </c>
      <c r="P16" s="23"/>
      <c r="Q16" s="40" t="s">
        <v>139</v>
      </c>
      <c r="R16" s="23">
        <v>43754</v>
      </c>
      <c r="S16" s="23"/>
      <c r="T16" s="40">
        <v>44927</v>
      </c>
      <c r="U16" s="40">
        <v>45017</v>
      </c>
      <c r="V16" s="143" t="s">
        <v>144</v>
      </c>
    </row>
    <row r="17" spans="1:22" ht="30.6" x14ac:dyDescent="0.3">
      <c r="A17" s="43">
        <v>6</v>
      </c>
      <c r="B17" s="21" t="s">
        <v>8</v>
      </c>
      <c r="C17" s="102" t="s">
        <v>126</v>
      </c>
      <c r="D17" s="181" t="s">
        <v>134</v>
      </c>
      <c r="E17" s="181">
        <v>2344</v>
      </c>
      <c r="F17" s="106" t="s">
        <v>33</v>
      </c>
      <c r="G17" s="190" t="s">
        <v>40</v>
      </c>
      <c r="H17" s="129">
        <v>4000000000</v>
      </c>
      <c r="I17" s="22">
        <v>2162198365</v>
      </c>
      <c r="J17" s="110">
        <v>350000000</v>
      </c>
      <c r="K17" s="36">
        <f>+I17+J17</f>
        <v>2512198365</v>
      </c>
      <c r="L17" s="29"/>
      <c r="M17" s="29" t="s">
        <v>15</v>
      </c>
      <c r="N17" s="114">
        <v>43818</v>
      </c>
      <c r="O17" s="40" t="s">
        <v>139</v>
      </c>
      <c r="P17" s="21"/>
      <c r="Q17" s="40" t="s">
        <v>139</v>
      </c>
      <c r="R17" s="39">
        <v>43818</v>
      </c>
      <c r="S17" s="39" t="s">
        <v>15</v>
      </c>
      <c r="T17" s="40" t="s">
        <v>139</v>
      </c>
      <c r="U17" s="40" t="s">
        <v>139</v>
      </c>
      <c r="V17" s="143" t="s">
        <v>145</v>
      </c>
    </row>
    <row r="18" spans="1:22" ht="30.6" x14ac:dyDescent="0.3">
      <c r="A18" s="33">
        <v>7</v>
      </c>
      <c r="B18" s="21" t="s">
        <v>8</v>
      </c>
      <c r="C18" s="102" t="s">
        <v>127</v>
      </c>
      <c r="D18" s="181" t="s">
        <v>0</v>
      </c>
      <c r="E18" s="181">
        <v>2344</v>
      </c>
      <c r="F18" s="106" t="s">
        <v>38</v>
      </c>
      <c r="G18" s="190" t="s">
        <v>135</v>
      </c>
      <c r="H18" s="129">
        <v>1700000000</v>
      </c>
      <c r="I18" s="22">
        <v>2480659700</v>
      </c>
      <c r="J18" s="110">
        <v>2700000000</v>
      </c>
      <c r="K18" s="36"/>
      <c r="L18" s="47">
        <v>43573</v>
      </c>
      <c r="M18" s="47">
        <v>43614</v>
      </c>
      <c r="N18" s="47">
        <v>43643</v>
      </c>
      <c r="O18" s="40">
        <v>45055</v>
      </c>
      <c r="P18" s="23"/>
      <c r="Q18" s="40" t="s">
        <v>139</v>
      </c>
      <c r="R18" s="23">
        <v>43643</v>
      </c>
      <c r="S18" s="23" t="s">
        <v>15</v>
      </c>
      <c r="T18" s="40" t="s">
        <v>139</v>
      </c>
      <c r="U18" s="40" t="s">
        <v>139</v>
      </c>
      <c r="V18" s="143" t="s">
        <v>146</v>
      </c>
    </row>
    <row r="19" spans="1:22" ht="20.399999999999999" x14ac:dyDescent="0.3">
      <c r="A19" s="43">
        <v>8</v>
      </c>
      <c r="B19" s="25" t="s">
        <v>8</v>
      </c>
      <c r="C19" s="102" t="s">
        <v>128</v>
      </c>
      <c r="D19" s="181" t="s">
        <v>0</v>
      </c>
      <c r="E19" s="181">
        <v>2351</v>
      </c>
      <c r="F19" s="106" t="s">
        <v>33</v>
      </c>
      <c r="G19" s="190" t="s">
        <v>35</v>
      </c>
      <c r="H19" s="129">
        <f>479609447</f>
        <v>479609447</v>
      </c>
      <c r="I19" s="27">
        <v>479609447</v>
      </c>
      <c r="J19" s="110">
        <v>1000000000</v>
      </c>
      <c r="K19" s="36"/>
      <c r="L19" s="47">
        <v>43654</v>
      </c>
      <c r="M19" s="29" t="s">
        <v>23</v>
      </c>
      <c r="N19" s="114">
        <v>43745</v>
      </c>
      <c r="O19" s="40" t="s">
        <v>139</v>
      </c>
      <c r="P19" s="25"/>
      <c r="Q19" s="40" t="s">
        <v>139</v>
      </c>
      <c r="R19" s="40">
        <v>43745</v>
      </c>
      <c r="S19" s="40" t="s">
        <v>15</v>
      </c>
      <c r="T19" s="40" t="s">
        <v>139</v>
      </c>
      <c r="U19" s="40" t="s">
        <v>139</v>
      </c>
      <c r="V19" s="143"/>
    </row>
    <row r="20" spans="1:22" ht="20.399999999999999" x14ac:dyDescent="0.3">
      <c r="A20" s="33">
        <v>9</v>
      </c>
      <c r="B20" s="25" t="s">
        <v>8</v>
      </c>
      <c r="C20" s="102" t="s">
        <v>129</v>
      </c>
      <c r="D20" s="181" t="s">
        <v>134</v>
      </c>
      <c r="E20" s="181">
        <v>2342</v>
      </c>
      <c r="F20" s="106" t="s">
        <v>33</v>
      </c>
      <c r="G20" s="190" t="s">
        <v>136</v>
      </c>
      <c r="H20" s="129">
        <f>456572458</f>
        <v>456572458</v>
      </c>
      <c r="I20" s="27">
        <v>456572458</v>
      </c>
      <c r="J20" s="110">
        <v>5000000</v>
      </c>
      <c r="K20" s="36"/>
      <c r="L20" s="47">
        <v>43654</v>
      </c>
      <c r="M20" s="29" t="s">
        <v>23</v>
      </c>
      <c r="N20" s="114">
        <v>43783</v>
      </c>
      <c r="O20" s="40">
        <v>45012</v>
      </c>
      <c r="P20" s="25"/>
      <c r="Q20" s="40">
        <v>44996</v>
      </c>
      <c r="R20" s="40">
        <v>43783</v>
      </c>
      <c r="S20" s="40" t="s">
        <v>15</v>
      </c>
      <c r="T20" s="40">
        <v>45075</v>
      </c>
      <c r="U20" s="40">
        <v>45077</v>
      </c>
      <c r="V20" s="143" t="s">
        <v>147</v>
      </c>
    </row>
    <row r="21" spans="1:22" x14ac:dyDescent="0.3">
      <c r="A21" s="43">
        <v>10</v>
      </c>
      <c r="B21" s="25" t="s">
        <v>8</v>
      </c>
      <c r="C21" s="102" t="s">
        <v>130</v>
      </c>
      <c r="D21" s="181"/>
      <c r="E21" s="181"/>
      <c r="F21" s="106" t="s">
        <v>33</v>
      </c>
      <c r="G21" s="190"/>
      <c r="H21" s="129">
        <f>125445900+70157600</f>
        <v>195603500</v>
      </c>
      <c r="I21" s="27">
        <v>195603500</v>
      </c>
      <c r="J21" s="110"/>
      <c r="K21" s="36"/>
      <c r="L21" s="47">
        <v>43552</v>
      </c>
      <c r="M21" s="29" t="s">
        <v>23</v>
      </c>
      <c r="N21" s="114">
        <v>43783</v>
      </c>
      <c r="O21" s="40"/>
      <c r="P21" s="25"/>
      <c r="Q21" s="40"/>
      <c r="R21" s="40">
        <v>43783</v>
      </c>
      <c r="S21" s="40" t="s">
        <v>15</v>
      </c>
      <c r="T21" s="40"/>
      <c r="U21" s="40"/>
      <c r="V21" s="143"/>
    </row>
    <row r="22" spans="1:22" ht="20.399999999999999" x14ac:dyDescent="0.3">
      <c r="A22" s="33">
        <v>11</v>
      </c>
      <c r="B22" s="25" t="s">
        <v>8</v>
      </c>
      <c r="C22" s="102" t="s">
        <v>131</v>
      </c>
      <c r="D22" s="181" t="s">
        <v>134</v>
      </c>
      <c r="E22" s="181">
        <v>2342</v>
      </c>
      <c r="F22" s="106" t="s">
        <v>33</v>
      </c>
      <c r="G22" s="190" t="s">
        <v>137</v>
      </c>
      <c r="H22" s="129">
        <f>100899865</f>
        <v>100899865</v>
      </c>
      <c r="I22" s="27">
        <v>100899865</v>
      </c>
      <c r="J22" s="110">
        <v>500000000</v>
      </c>
      <c r="K22" s="36" t="s">
        <v>15</v>
      </c>
      <c r="L22" s="47">
        <v>43552</v>
      </c>
      <c r="M22" s="29" t="s">
        <v>23</v>
      </c>
      <c r="N22" s="114">
        <v>43829</v>
      </c>
      <c r="O22" s="40">
        <v>45027</v>
      </c>
      <c r="P22" s="25"/>
      <c r="Q22" s="40">
        <v>45141</v>
      </c>
      <c r="R22" s="40">
        <v>43829</v>
      </c>
      <c r="S22" s="40" t="s">
        <v>15</v>
      </c>
      <c r="T22" s="40" t="s">
        <v>139</v>
      </c>
      <c r="U22" s="40" t="s">
        <v>139</v>
      </c>
      <c r="V22" s="143" t="s">
        <v>147</v>
      </c>
    </row>
    <row r="23" spans="1:22" ht="40.799999999999997" x14ac:dyDescent="0.3">
      <c r="A23" s="43">
        <v>12</v>
      </c>
      <c r="B23" s="25" t="s">
        <v>8</v>
      </c>
      <c r="C23" s="102" t="s">
        <v>132</v>
      </c>
      <c r="D23" s="181" t="s">
        <v>134</v>
      </c>
      <c r="E23" s="181">
        <v>2343</v>
      </c>
      <c r="F23" s="106" t="s">
        <v>33</v>
      </c>
      <c r="G23" s="190" t="s">
        <v>138</v>
      </c>
      <c r="H23" s="129">
        <v>77541630</v>
      </c>
      <c r="I23" s="27">
        <v>77541630</v>
      </c>
      <c r="J23" s="110">
        <v>261766856</v>
      </c>
      <c r="K23" s="36" t="s">
        <v>15</v>
      </c>
      <c r="L23" s="47">
        <v>43978</v>
      </c>
      <c r="M23" s="29" t="s">
        <v>15</v>
      </c>
      <c r="N23" s="114">
        <v>44034</v>
      </c>
      <c r="O23" s="40" t="s">
        <v>139</v>
      </c>
      <c r="P23" s="25"/>
      <c r="Q23" s="40" t="s">
        <v>139</v>
      </c>
      <c r="R23" s="40">
        <v>44034</v>
      </c>
      <c r="S23" s="40" t="s">
        <v>15</v>
      </c>
      <c r="T23" s="40" t="s">
        <v>139</v>
      </c>
      <c r="U23" s="40" t="s">
        <v>139</v>
      </c>
      <c r="V23" s="143" t="s">
        <v>148</v>
      </c>
    </row>
    <row r="24" spans="1:22" s="45" customFormat="1" ht="50.4" customHeight="1" x14ac:dyDescent="0.3">
      <c r="A24" s="43">
        <v>14</v>
      </c>
      <c r="B24" s="25" t="s">
        <v>8</v>
      </c>
      <c r="C24" s="108" t="s">
        <v>133</v>
      </c>
      <c r="D24" s="182" t="s">
        <v>134</v>
      </c>
      <c r="E24" s="182">
        <v>2119</v>
      </c>
      <c r="F24" s="106" t="s">
        <v>33</v>
      </c>
      <c r="G24" s="191" t="s">
        <v>41</v>
      </c>
      <c r="H24" s="129">
        <v>625273255</v>
      </c>
      <c r="I24" s="27"/>
      <c r="J24" s="111"/>
      <c r="K24" s="44"/>
      <c r="L24" s="47"/>
      <c r="M24" s="29"/>
      <c r="N24" s="114"/>
      <c r="O24" s="115"/>
      <c r="P24" s="25"/>
      <c r="Q24" s="115"/>
      <c r="R24" s="40"/>
      <c r="S24" s="40"/>
      <c r="T24" s="115"/>
      <c r="U24" s="115"/>
      <c r="V24" s="144" t="s">
        <v>164</v>
      </c>
    </row>
    <row r="25" spans="1:22" x14ac:dyDescent="0.3">
      <c r="A25" s="33">
        <v>15</v>
      </c>
      <c r="B25" s="25" t="s">
        <v>9</v>
      </c>
      <c r="C25" s="102"/>
      <c r="D25" s="183" t="s">
        <v>4</v>
      </c>
      <c r="E25" s="106"/>
      <c r="F25" s="106" t="s">
        <v>33</v>
      </c>
      <c r="G25" s="106" t="s">
        <v>35</v>
      </c>
      <c r="H25" s="130">
        <v>1785177500</v>
      </c>
      <c r="I25" s="38">
        <v>1785177500</v>
      </c>
      <c r="J25" s="38" t="s">
        <v>15</v>
      </c>
      <c r="K25" s="36" t="s">
        <v>15</v>
      </c>
      <c r="L25" s="47">
        <v>44000</v>
      </c>
      <c r="M25" s="29" t="s">
        <v>23</v>
      </c>
      <c r="N25" s="114">
        <v>44054</v>
      </c>
      <c r="O25" s="25" t="s">
        <v>15</v>
      </c>
      <c r="P25" s="25"/>
      <c r="Q25" s="40"/>
      <c r="R25" s="40">
        <v>44054</v>
      </c>
      <c r="S25" s="40" t="s">
        <v>15</v>
      </c>
      <c r="T25" s="41">
        <v>44179</v>
      </c>
      <c r="U25" s="41"/>
      <c r="V25" s="40" t="s">
        <v>54</v>
      </c>
    </row>
    <row r="26" spans="1:22" ht="21.6" x14ac:dyDescent="0.3">
      <c r="A26" s="43">
        <v>16</v>
      </c>
      <c r="B26" s="25" t="s">
        <v>8</v>
      </c>
      <c r="C26" s="102"/>
      <c r="D26" s="184" t="s">
        <v>36</v>
      </c>
      <c r="E26" s="106"/>
      <c r="F26" s="106" t="s">
        <v>37</v>
      </c>
      <c r="G26" s="106"/>
      <c r="H26" s="130">
        <v>27000000000</v>
      </c>
      <c r="I26" s="38"/>
      <c r="J26" s="38"/>
      <c r="K26" s="36">
        <f t="shared" ref="K26" si="1">I26+J26</f>
        <v>0</v>
      </c>
      <c r="L26" s="47" t="s">
        <v>15</v>
      </c>
      <c r="M26" s="47" t="s">
        <v>15</v>
      </c>
      <c r="N26" s="47"/>
      <c r="O26" s="28"/>
      <c r="P26" s="28"/>
      <c r="Q26" s="28"/>
      <c r="R26" s="28"/>
      <c r="S26" s="28" t="s">
        <v>15</v>
      </c>
      <c r="T26" s="24">
        <v>44866</v>
      </c>
      <c r="U26" s="24"/>
      <c r="V26" s="40" t="s">
        <v>79</v>
      </c>
    </row>
    <row r="27" spans="1:22" ht="31.5" customHeight="1" x14ac:dyDescent="0.3">
      <c r="A27" s="119">
        <v>17</v>
      </c>
      <c r="B27" s="40" t="s">
        <v>139</v>
      </c>
      <c r="C27" s="177" t="s">
        <v>149</v>
      </c>
      <c r="D27" s="184" t="s">
        <v>134</v>
      </c>
      <c r="E27" s="196">
        <v>2342</v>
      </c>
      <c r="F27" s="193" t="s">
        <v>33</v>
      </c>
      <c r="G27" s="193" t="s">
        <v>139</v>
      </c>
      <c r="H27" s="203">
        <v>1099453434</v>
      </c>
      <c r="I27" s="40" t="s">
        <v>139</v>
      </c>
      <c r="J27" s="40" t="s">
        <v>15</v>
      </c>
      <c r="K27" s="40" t="s">
        <v>15</v>
      </c>
      <c r="L27" s="40">
        <v>45366</v>
      </c>
      <c r="M27" s="40" t="s">
        <v>15</v>
      </c>
      <c r="N27" s="40">
        <v>45397</v>
      </c>
      <c r="O27" s="40" t="s">
        <v>15</v>
      </c>
      <c r="P27" s="40" t="s">
        <v>15</v>
      </c>
      <c r="Q27" s="40" t="s">
        <v>15</v>
      </c>
      <c r="R27" s="40" t="s">
        <v>139</v>
      </c>
      <c r="S27" s="40" t="s">
        <v>139</v>
      </c>
      <c r="T27" s="40">
        <v>45427</v>
      </c>
      <c r="U27" s="40">
        <v>45657</v>
      </c>
      <c r="V27" s="40"/>
    </row>
    <row r="28" spans="1:22" ht="31.5" customHeight="1" x14ac:dyDescent="0.3">
      <c r="A28" s="119">
        <v>18</v>
      </c>
      <c r="B28" s="40" t="s">
        <v>139</v>
      </c>
      <c r="C28" s="177" t="s">
        <v>150</v>
      </c>
      <c r="D28" s="184" t="s">
        <v>134</v>
      </c>
      <c r="E28" s="196">
        <v>2342</v>
      </c>
      <c r="F28" s="193" t="s">
        <v>33</v>
      </c>
      <c r="G28" s="193" t="s">
        <v>139</v>
      </c>
      <c r="H28" s="203">
        <v>705000000</v>
      </c>
      <c r="I28" s="40" t="s">
        <v>139</v>
      </c>
      <c r="J28" s="40" t="s">
        <v>15</v>
      </c>
      <c r="K28" s="40" t="s">
        <v>15</v>
      </c>
      <c r="L28" s="40">
        <v>45366</v>
      </c>
      <c r="M28" s="40" t="s">
        <v>15</v>
      </c>
      <c r="N28" s="40">
        <v>45397</v>
      </c>
      <c r="O28" s="40" t="s">
        <v>15</v>
      </c>
      <c r="P28" s="40" t="s">
        <v>15</v>
      </c>
      <c r="Q28" s="40" t="s">
        <v>15</v>
      </c>
      <c r="R28" s="40" t="s">
        <v>139</v>
      </c>
      <c r="S28" s="40" t="s">
        <v>139</v>
      </c>
      <c r="T28" s="40">
        <v>45427</v>
      </c>
      <c r="U28" s="40" t="s">
        <v>139</v>
      </c>
      <c r="V28" s="40"/>
    </row>
    <row r="29" spans="1:22" ht="42.75" customHeight="1" x14ac:dyDescent="0.3">
      <c r="A29" s="119">
        <v>19</v>
      </c>
      <c r="B29" s="40" t="s">
        <v>139</v>
      </c>
      <c r="C29" s="177" t="s">
        <v>151</v>
      </c>
      <c r="D29" s="184" t="s">
        <v>134</v>
      </c>
      <c r="E29" s="196">
        <v>2344</v>
      </c>
      <c r="F29" s="193" t="s">
        <v>33</v>
      </c>
      <c r="G29" s="193" t="s">
        <v>139</v>
      </c>
      <c r="H29" s="204">
        <v>412000000</v>
      </c>
      <c r="I29" s="40" t="s">
        <v>139</v>
      </c>
      <c r="J29" s="40" t="s">
        <v>15</v>
      </c>
      <c r="K29" s="40" t="s">
        <v>15</v>
      </c>
      <c r="L29" s="40">
        <v>45371</v>
      </c>
      <c r="M29" s="40" t="s">
        <v>15</v>
      </c>
      <c r="N29" s="40">
        <v>45404</v>
      </c>
      <c r="O29" s="40" t="s">
        <v>15</v>
      </c>
      <c r="P29" s="40" t="s">
        <v>15</v>
      </c>
      <c r="Q29" s="40" t="s">
        <v>15</v>
      </c>
      <c r="R29" s="40" t="s">
        <v>139</v>
      </c>
      <c r="S29" s="40" t="s">
        <v>139</v>
      </c>
      <c r="T29" s="40">
        <v>45046</v>
      </c>
      <c r="U29" s="40">
        <v>45657</v>
      </c>
      <c r="V29" s="40"/>
    </row>
    <row r="30" spans="1:22" ht="30.6" x14ac:dyDescent="0.3">
      <c r="A30" s="119">
        <v>20</v>
      </c>
      <c r="B30" s="40" t="s">
        <v>139</v>
      </c>
      <c r="C30" s="178" t="s">
        <v>152</v>
      </c>
      <c r="D30" s="184" t="s">
        <v>134</v>
      </c>
      <c r="E30" s="196">
        <v>2344</v>
      </c>
      <c r="F30" s="193" t="s">
        <v>33</v>
      </c>
      <c r="G30" s="193" t="s">
        <v>139</v>
      </c>
      <c r="H30" s="203">
        <v>400000000</v>
      </c>
      <c r="I30" s="40" t="s">
        <v>139</v>
      </c>
      <c r="J30" s="40" t="s">
        <v>15</v>
      </c>
      <c r="K30" s="40" t="s">
        <v>15</v>
      </c>
      <c r="L30" s="40">
        <v>45384</v>
      </c>
      <c r="M30" s="40" t="s">
        <v>15</v>
      </c>
      <c r="N30" s="40">
        <v>45412</v>
      </c>
      <c r="O30" s="40" t="s">
        <v>15</v>
      </c>
      <c r="P30" s="40" t="s">
        <v>15</v>
      </c>
      <c r="Q30" s="40" t="s">
        <v>15</v>
      </c>
      <c r="R30" s="40" t="s">
        <v>139</v>
      </c>
      <c r="S30" s="40" t="s">
        <v>139</v>
      </c>
      <c r="T30" s="40">
        <v>45418</v>
      </c>
      <c r="U30" s="40">
        <v>45657</v>
      </c>
      <c r="V30" s="40"/>
    </row>
    <row r="31" spans="1:22" ht="40.799999999999997" x14ac:dyDescent="0.3">
      <c r="A31" s="119">
        <v>21</v>
      </c>
      <c r="B31" s="40" t="s">
        <v>139</v>
      </c>
      <c r="C31" s="178" t="s">
        <v>153</v>
      </c>
      <c r="D31" s="184" t="s">
        <v>163</v>
      </c>
      <c r="E31" s="196">
        <v>2344</v>
      </c>
      <c r="F31" s="193" t="s">
        <v>37</v>
      </c>
      <c r="G31" s="193" t="s">
        <v>139</v>
      </c>
      <c r="H31" s="205">
        <v>22000000000</v>
      </c>
      <c r="I31" s="40" t="s">
        <v>139</v>
      </c>
      <c r="J31" s="40" t="s">
        <v>15</v>
      </c>
      <c r="K31" s="40" t="s">
        <v>15</v>
      </c>
      <c r="L31" s="40">
        <v>45434</v>
      </c>
      <c r="M31" s="40">
        <v>45450</v>
      </c>
      <c r="N31" s="40">
        <v>45505</v>
      </c>
      <c r="O31" s="40" t="s">
        <v>15</v>
      </c>
      <c r="P31" s="40" t="s">
        <v>15</v>
      </c>
      <c r="Q31" s="40" t="s">
        <v>15</v>
      </c>
      <c r="R31" s="40" t="s">
        <v>139</v>
      </c>
      <c r="S31" s="40" t="s">
        <v>139</v>
      </c>
      <c r="T31" s="40">
        <v>45516</v>
      </c>
      <c r="U31" s="40">
        <v>46055</v>
      </c>
      <c r="V31" s="40"/>
    </row>
    <row r="32" spans="1:22" ht="31.5" customHeight="1" x14ac:dyDescent="0.3">
      <c r="A32" s="119">
        <v>22</v>
      </c>
      <c r="B32" s="40" t="s">
        <v>139</v>
      </c>
      <c r="C32" s="178" t="s">
        <v>154</v>
      </c>
      <c r="D32" s="184" t="s">
        <v>134</v>
      </c>
      <c r="E32" s="196">
        <v>2344</v>
      </c>
      <c r="F32" s="193" t="s">
        <v>33</v>
      </c>
      <c r="G32" s="193" t="s">
        <v>139</v>
      </c>
      <c r="H32" s="203">
        <v>350000000</v>
      </c>
      <c r="I32" s="40" t="s">
        <v>139</v>
      </c>
      <c r="J32" s="40" t="s">
        <v>15</v>
      </c>
      <c r="K32" s="40" t="s">
        <v>15</v>
      </c>
      <c r="L32" s="40">
        <v>45362</v>
      </c>
      <c r="M32" s="40">
        <v>45393</v>
      </c>
      <c r="N32" s="40">
        <v>45425</v>
      </c>
      <c r="O32" s="40" t="s">
        <v>15</v>
      </c>
      <c r="P32" s="40" t="s">
        <v>15</v>
      </c>
      <c r="Q32" s="40" t="s">
        <v>15</v>
      </c>
      <c r="R32" s="40" t="s">
        <v>139</v>
      </c>
      <c r="S32" s="40" t="s">
        <v>139</v>
      </c>
      <c r="T32" s="40">
        <v>45456</v>
      </c>
      <c r="U32" s="40">
        <v>45657</v>
      </c>
      <c r="V32" s="40"/>
    </row>
    <row r="33" spans="1:22" ht="31.5" customHeight="1" x14ac:dyDescent="0.3">
      <c r="A33" s="119">
        <v>23</v>
      </c>
      <c r="B33" s="40" t="s">
        <v>139</v>
      </c>
      <c r="C33" s="177" t="s">
        <v>155</v>
      </c>
      <c r="D33" s="184" t="s">
        <v>134</v>
      </c>
      <c r="E33" s="196">
        <v>2344</v>
      </c>
      <c r="F33" s="193" t="s">
        <v>37</v>
      </c>
      <c r="G33" s="193" t="s">
        <v>139</v>
      </c>
      <c r="H33" s="203">
        <v>300000000</v>
      </c>
      <c r="I33" s="40" t="s">
        <v>139</v>
      </c>
      <c r="J33" s="40" t="s">
        <v>15</v>
      </c>
      <c r="K33" s="40" t="s">
        <v>15</v>
      </c>
      <c r="L33" s="40">
        <v>45362</v>
      </c>
      <c r="M33" s="40">
        <v>45393</v>
      </c>
      <c r="N33" s="40">
        <v>45425</v>
      </c>
      <c r="O33" s="40" t="s">
        <v>15</v>
      </c>
      <c r="P33" s="40" t="s">
        <v>15</v>
      </c>
      <c r="Q33" s="40" t="s">
        <v>15</v>
      </c>
      <c r="R33" s="40" t="s">
        <v>139</v>
      </c>
      <c r="S33" s="40" t="s">
        <v>139</v>
      </c>
      <c r="T33" s="40" t="s">
        <v>214</v>
      </c>
      <c r="U33" s="40">
        <v>45657</v>
      </c>
      <c r="V33" s="40"/>
    </row>
    <row r="34" spans="1:22" ht="31.5" customHeight="1" x14ac:dyDescent="0.3">
      <c r="A34" s="119">
        <v>24</v>
      </c>
      <c r="B34" s="40" t="s">
        <v>139</v>
      </c>
      <c r="C34" s="178" t="s">
        <v>156</v>
      </c>
      <c r="D34" s="184" t="s">
        <v>134</v>
      </c>
      <c r="E34" s="197">
        <v>2351</v>
      </c>
      <c r="F34" s="193" t="s">
        <v>33</v>
      </c>
      <c r="G34" s="193" t="s">
        <v>139</v>
      </c>
      <c r="H34" s="203">
        <v>400000000</v>
      </c>
      <c r="I34" s="40" t="s">
        <v>139</v>
      </c>
      <c r="J34" s="40" t="s">
        <v>15</v>
      </c>
      <c r="K34" s="40" t="s">
        <v>15</v>
      </c>
      <c r="L34" s="40">
        <v>45434</v>
      </c>
      <c r="M34" s="40">
        <v>45464</v>
      </c>
      <c r="N34" s="40">
        <v>45495</v>
      </c>
      <c r="O34" s="40" t="s">
        <v>15</v>
      </c>
      <c r="P34" s="40" t="s">
        <v>15</v>
      </c>
      <c r="Q34" s="40" t="s">
        <v>15</v>
      </c>
      <c r="R34" s="40" t="s">
        <v>139</v>
      </c>
      <c r="S34" s="40" t="s">
        <v>139</v>
      </c>
      <c r="T34" s="40">
        <v>45526</v>
      </c>
      <c r="U34" s="40" t="s">
        <v>139</v>
      </c>
      <c r="V34" s="40"/>
    </row>
    <row r="35" spans="1:22" ht="31.5" customHeight="1" x14ac:dyDescent="0.3">
      <c r="A35" s="119">
        <v>25</v>
      </c>
      <c r="B35" s="40" t="s">
        <v>139</v>
      </c>
      <c r="C35" s="178" t="s">
        <v>157</v>
      </c>
      <c r="D35" s="184" t="s">
        <v>134</v>
      </c>
      <c r="E35" s="197">
        <v>2351</v>
      </c>
      <c r="F35" s="193" t="s">
        <v>33</v>
      </c>
      <c r="G35" s="193" t="s">
        <v>139</v>
      </c>
      <c r="H35" s="203">
        <v>400000000</v>
      </c>
      <c r="I35" s="40" t="s">
        <v>139</v>
      </c>
      <c r="J35" s="40" t="s">
        <v>15</v>
      </c>
      <c r="K35" s="40" t="s">
        <v>15</v>
      </c>
      <c r="L35" s="40">
        <v>45434</v>
      </c>
      <c r="M35" s="40" t="s">
        <v>215</v>
      </c>
      <c r="N35" s="40">
        <v>45495</v>
      </c>
      <c r="O35" s="40" t="s">
        <v>15</v>
      </c>
      <c r="P35" s="40" t="s">
        <v>15</v>
      </c>
      <c r="Q35" s="40" t="s">
        <v>15</v>
      </c>
      <c r="R35" s="40" t="s">
        <v>139</v>
      </c>
      <c r="S35" s="40" t="s">
        <v>139</v>
      </c>
      <c r="T35" s="40">
        <v>45526</v>
      </c>
      <c r="U35" s="40" t="s">
        <v>139</v>
      </c>
      <c r="V35" s="40"/>
    </row>
    <row r="36" spans="1:22" ht="31.5" customHeight="1" x14ac:dyDescent="0.3">
      <c r="A36" s="119">
        <v>26</v>
      </c>
      <c r="B36" s="40" t="s">
        <v>139</v>
      </c>
      <c r="C36" s="177" t="s">
        <v>158</v>
      </c>
      <c r="D36" s="184" t="s">
        <v>134</v>
      </c>
      <c r="E36" s="197">
        <v>2351</v>
      </c>
      <c r="F36" s="193" t="s">
        <v>139</v>
      </c>
      <c r="G36" s="193" t="s">
        <v>139</v>
      </c>
      <c r="H36" s="203">
        <v>307280566</v>
      </c>
      <c r="I36" s="40" t="s">
        <v>139</v>
      </c>
      <c r="J36" s="40" t="s">
        <v>139</v>
      </c>
      <c r="K36" s="40" t="s">
        <v>139</v>
      </c>
      <c r="L36" s="40" t="s">
        <v>139</v>
      </c>
      <c r="M36" s="40" t="s">
        <v>139</v>
      </c>
      <c r="N36" s="40" t="s">
        <v>139</v>
      </c>
      <c r="O36" s="40" t="s">
        <v>139</v>
      </c>
      <c r="P36" s="40" t="s">
        <v>139</v>
      </c>
      <c r="Q36" s="40" t="s">
        <v>139</v>
      </c>
      <c r="R36" s="40" t="s">
        <v>139</v>
      </c>
      <c r="S36" s="40" t="s">
        <v>139</v>
      </c>
      <c r="T36" s="40" t="s">
        <v>139</v>
      </c>
      <c r="U36" s="40" t="s">
        <v>139</v>
      </c>
      <c r="V36" s="40"/>
    </row>
    <row r="37" spans="1:22" ht="31.5" customHeight="1" x14ac:dyDescent="0.3">
      <c r="A37" s="119">
        <v>27</v>
      </c>
      <c r="B37" s="40" t="s">
        <v>139</v>
      </c>
      <c r="C37" s="174" t="s">
        <v>159</v>
      </c>
      <c r="D37" s="184" t="s">
        <v>163</v>
      </c>
      <c r="E37" s="186">
        <v>64430000</v>
      </c>
      <c r="F37" s="193" t="s">
        <v>139</v>
      </c>
      <c r="G37" s="193" t="s">
        <v>139</v>
      </c>
      <c r="H37" s="206">
        <v>10427987890</v>
      </c>
      <c r="I37" s="40" t="s">
        <v>139</v>
      </c>
      <c r="J37" s="40" t="s">
        <v>139</v>
      </c>
      <c r="K37" s="40" t="s">
        <v>139</v>
      </c>
      <c r="L37" s="40" t="s">
        <v>139</v>
      </c>
      <c r="M37" s="40" t="s">
        <v>139</v>
      </c>
      <c r="N37" s="40" t="s">
        <v>139</v>
      </c>
      <c r="O37" s="40" t="s">
        <v>139</v>
      </c>
      <c r="P37" s="40" t="s">
        <v>139</v>
      </c>
      <c r="Q37" s="40" t="s">
        <v>139</v>
      </c>
      <c r="R37" s="40" t="s">
        <v>139</v>
      </c>
      <c r="S37" s="40" t="s">
        <v>139</v>
      </c>
      <c r="T37" s="40" t="s">
        <v>139</v>
      </c>
      <c r="U37" s="40" t="s">
        <v>139</v>
      </c>
      <c r="V37" s="40"/>
    </row>
    <row r="38" spans="1:22" ht="31.5" customHeight="1" x14ac:dyDescent="0.3">
      <c r="A38" s="119">
        <v>28</v>
      </c>
      <c r="B38" s="40" t="s">
        <v>139</v>
      </c>
      <c r="C38" s="174" t="s">
        <v>160</v>
      </c>
      <c r="D38" s="184" t="s">
        <v>163</v>
      </c>
      <c r="E38" s="186">
        <v>63910000</v>
      </c>
      <c r="F38" s="193" t="s">
        <v>139</v>
      </c>
      <c r="G38" s="193" t="s">
        <v>139</v>
      </c>
      <c r="H38" s="198">
        <v>612871000</v>
      </c>
      <c r="I38" s="40" t="s">
        <v>139</v>
      </c>
      <c r="J38" s="40" t="s">
        <v>139</v>
      </c>
      <c r="K38" s="40" t="s">
        <v>139</v>
      </c>
      <c r="L38" s="40" t="s">
        <v>139</v>
      </c>
      <c r="M38" s="40" t="s">
        <v>139</v>
      </c>
      <c r="N38" s="40" t="s">
        <v>139</v>
      </c>
      <c r="O38" s="40" t="s">
        <v>139</v>
      </c>
      <c r="P38" s="40" t="s">
        <v>139</v>
      </c>
      <c r="Q38" s="40" t="s">
        <v>139</v>
      </c>
      <c r="R38" s="40" t="s">
        <v>139</v>
      </c>
      <c r="S38" s="40" t="s">
        <v>139</v>
      </c>
      <c r="T38" s="40" t="s">
        <v>139</v>
      </c>
      <c r="U38" s="40" t="s">
        <v>139</v>
      </c>
      <c r="V38" s="40"/>
    </row>
    <row r="39" spans="1:22" ht="31.5" customHeight="1" x14ac:dyDescent="0.3">
      <c r="A39" s="119">
        <v>29</v>
      </c>
      <c r="B39" s="40" t="s">
        <v>139</v>
      </c>
      <c r="C39" s="175" t="s">
        <v>161</v>
      </c>
      <c r="D39" s="184" t="s">
        <v>163</v>
      </c>
      <c r="E39" s="186">
        <v>63920000</v>
      </c>
      <c r="F39" s="193" t="s">
        <v>139</v>
      </c>
      <c r="G39" s="193" t="s">
        <v>139</v>
      </c>
      <c r="H39" s="199">
        <v>469774279</v>
      </c>
      <c r="I39" s="40" t="s">
        <v>139</v>
      </c>
      <c r="J39" s="40" t="s">
        <v>139</v>
      </c>
      <c r="K39" s="40" t="s">
        <v>139</v>
      </c>
      <c r="L39" s="40" t="s">
        <v>139</v>
      </c>
      <c r="M39" s="40" t="s">
        <v>139</v>
      </c>
      <c r="N39" s="40" t="s">
        <v>139</v>
      </c>
      <c r="O39" s="40" t="s">
        <v>139</v>
      </c>
      <c r="P39" s="40" t="s">
        <v>139</v>
      </c>
      <c r="Q39" s="40" t="s">
        <v>139</v>
      </c>
      <c r="R39" s="40" t="s">
        <v>139</v>
      </c>
      <c r="S39" s="40" t="s">
        <v>139</v>
      </c>
      <c r="T39" s="40" t="s">
        <v>139</v>
      </c>
      <c r="U39" s="40" t="s">
        <v>139</v>
      </c>
      <c r="V39" s="40"/>
    </row>
    <row r="40" spans="1:22" ht="31.5" customHeight="1" x14ac:dyDescent="0.3">
      <c r="A40" s="119"/>
      <c r="B40" s="25"/>
      <c r="C40" s="176"/>
      <c r="D40" s="184"/>
      <c r="E40" s="187"/>
      <c r="F40" s="193"/>
      <c r="G40" s="193"/>
      <c r="H40" s="20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</row>
    <row r="41" spans="1:22" x14ac:dyDescent="0.3">
      <c r="A41" s="51"/>
      <c r="B41" s="10"/>
      <c r="C41" s="52" t="s">
        <v>56</v>
      </c>
      <c r="D41" s="185"/>
      <c r="E41" s="185"/>
      <c r="F41" s="189"/>
      <c r="G41" s="185"/>
      <c r="H41" s="207"/>
      <c r="I41" s="54">
        <f>SUM(I12:I26)</f>
        <v>169329844828</v>
      </c>
      <c r="J41" s="54">
        <f>SUM(J12:J26)</f>
        <v>59905086707</v>
      </c>
      <c r="K41" s="54">
        <f>SUM(K12:K26)</f>
        <v>164754932188</v>
      </c>
      <c r="L41" s="53"/>
      <c r="M41" s="53"/>
      <c r="N41" s="53"/>
      <c r="O41" s="53"/>
      <c r="P41" s="53"/>
      <c r="Q41" s="53"/>
      <c r="R41" s="53"/>
      <c r="S41" s="53"/>
      <c r="T41" s="103"/>
      <c r="U41" s="101"/>
      <c r="V41" s="118"/>
    </row>
    <row r="57" spans="9:9" x14ac:dyDescent="0.3">
      <c r="I57" s="45"/>
    </row>
  </sheetData>
  <mergeCells count="11">
    <mergeCell ref="C6:C7"/>
    <mergeCell ref="B8:U8"/>
    <mergeCell ref="L10:N10"/>
    <mergeCell ref="O10:Q10"/>
    <mergeCell ref="F10:F11"/>
    <mergeCell ref="G10:G11"/>
    <mergeCell ref="A10:A11"/>
    <mergeCell ref="B10:B11"/>
    <mergeCell ref="C10:C11"/>
    <mergeCell ref="D10:D11"/>
    <mergeCell ref="E10:E11"/>
  </mergeCells>
  <pageMargins left="0.7" right="0.7" top="0.75" bottom="0.75" header="0.3" footer="0.3"/>
  <pageSetup paperSize="8" scale="63" fitToHeight="0" orientation="landscape" r:id="rId1"/>
  <headerFooter>
    <oddFooter>&amp;C&amp;P/&amp;N&amp;R&amp;D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44"/>
  <sheetViews>
    <sheetView zoomScaleNormal="100" workbookViewId="0">
      <selection activeCell="F18" sqref="E18:F18"/>
    </sheetView>
  </sheetViews>
  <sheetFormatPr baseColWidth="10" defaultColWidth="11.5" defaultRowHeight="14.4" x14ac:dyDescent="0.3"/>
  <cols>
    <col min="1" max="1" width="4.59765625" style="2" customWidth="1"/>
    <col min="2" max="2" width="15.09765625" style="2" bestFit="1" customWidth="1"/>
    <col min="3" max="3" width="42.3984375" style="3" customWidth="1"/>
    <col min="4" max="4" width="13.8984375" style="4" bestFit="1" customWidth="1"/>
    <col min="5" max="5" width="17.59765625" style="2" customWidth="1"/>
    <col min="6" max="6" width="16.59765625" style="2" customWidth="1"/>
    <col min="7" max="7" width="16.5" style="62" bestFit="1" customWidth="1"/>
    <col min="8" max="9" width="16.59765625" style="2" hidden="1" customWidth="1"/>
    <col min="10" max="10" width="18.59765625" style="7" hidden="1" customWidth="1"/>
    <col min="11" max="11" width="18.59765625" style="59" hidden="1" customWidth="1"/>
    <col min="12" max="12" width="18.59765625" style="7" hidden="1" customWidth="1"/>
    <col min="13" max="13" width="20.09765625" style="7" hidden="1" customWidth="1"/>
    <col min="14" max="14" width="15.8984375" style="7" hidden="1" customWidth="1"/>
    <col min="15" max="15" width="15.59765625" style="2" hidden="1" customWidth="1"/>
    <col min="16" max="16" width="16.8984375" style="2" hidden="1" customWidth="1"/>
    <col min="17" max="17" width="14" style="2" hidden="1" customWidth="1"/>
    <col min="18" max="18" width="13.5" style="2" hidden="1" customWidth="1"/>
    <col min="19" max="16384" width="11.5" style="3"/>
  </cols>
  <sheetData>
    <row r="1" spans="1:18" ht="15.6" x14ac:dyDescent="0.3">
      <c r="A1" s="8"/>
      <c r="B1"/>
      <c r="C1" s="9"/>
      <c r="D1"/>
      <c r="E1"/>
      <c r="F1" s="8"/>
      <c r="G1" s="61"/>
      <c r="H1" s="8"/>
      <c r="I1" s="8"/>
      <c r="J1" s="9"/>
      <c r="K1" s="58"/>
      <c r="L1" s="9"/>
      <c r="M1" s="9"/>
      <c r="N1" s="9"/>
      <c r="O1" s="8"/>
      <c r="P1" s="8"/>
      <c r="Q1" s="8"/>
      <c r="R1" s="8"/>
    </row>
    <row r="2" spans="1:18" ht="15.6" x14ac:dyDescent="0.3">
      <c r="A2" s="8"/>
      <c r="B2"/>
      <c r="C2" s="9"/>
      <c r="D2"/>
      <c r="E2"/>
      <c r="F2" s="8"/>
      <c r="G2" s="61"/>
      <c r="H2" s="8"/>
      <c r="I2" s="8"/>
      <c r="J2" s="9"/>
      <c r="K2" s="58"/>
      <c r="L2" s="9"/>
      <c r="M2" s="9"/>
      <c r="N2" s="9"/>
      <c r="O2" s="8"/>
      <c r="P2" s="8"/>
      <c r="Q2" s="8"/>
      <c r="R2" s="8"/>
    </row>
    <row r="3" spans="1:18" ht="15.6" x14ac:dyDescent="0.3">
      <c r="A3" s="8"/>
      <c r="B3"/>
      <c r="C3" s="9"/>
      <c r="D3"/>
      <c r="E3"/>
      <c r="F3" s="8"/>
      <c r="G3" s="61"/>
      <c r="H3" s="8"/>
      <c r="I3" s="8"/>
      <c r="J3" s="9"/>
      <c r="K3" s="58"/>
      <c r="L3" s="9"/>
      <c r="M3" s="9"/>
      <c r="N3" s="9"/>
      <c r="O3" s="8"/>
      <c r="P3" s="8"/>
      <c r="Q3" s="8"/>
      <c r="R3" s="8"/>
    </row>
    <row r="4" spans="1:18" ht="15.6" x14ac:dyDescent="0.3">
      <c r="A4" s="8"/>
      <c r="B4"/>
      <c r="C4" s="9"/>
      <c r="D4"/>
      <c r="E4"/>
      <c r="F4" s="8"/>
      <c r="G4" s="61"/>
      <c r="H4" s="8"/>
      <c r="I4" s="8"/>
      <c r="J4" s="9"/>
      <c r="K4" s="58"/>
      <c r="L4" s="9"/>
      <c r="M4" s="9"/>
      <c r="N4" s="9"/>
      <c r="O4" s="8"/>
      <c r="P4" s="8"/>
      <c r="Q4" s="8"/>
      <c r="R4" s="8"/>
    </row>
    <row r="5" spans="1:18" ht="15.6" x14ac:dyDescent="0.3">
      <c r="A5" s="8"/>
      <c r="B5"/>
      <c r="C5" s="9"/>
      <c r="D5"/>
      <c r="E5"/>
      <c r="F5" s="8"/>
      <c r="G5" s="61"/>
      <c r="H5" s="8"/>
      <c r="I5" s="8"/>
      <c r="J5" s="9"/>
      <c r="K5" s="58"/>
      <c r="L5" s="9"/>
      <c r="M5" s="9"/>
      <c r="N5" s="9"/>
      <c r="O5" s="8"/>
      <c r="P5" s="8"/>
      <c r="Q5" s="8"/>
      <c r="R5" s="8"/>
    </row>
    <row r="6" spans="1:18" ht="33" customHeight="1" x14ac:dyDescent="0.3">
      <c r="A6" s="65"/>
      <c r="B6" s="66"/>
      <c r="C6" s="223" t="s">
        <v>78</v>
      </c>
      <c r="D6" s="66"/>
      <c r="E6" s="66"/>
      <c r="F6" s="65"/>
      <c r="G6" s="68"/>
      <c r="H6" s="65"/>
      <c r="I6" s="65"/>
      <c r="J6" s="67"/>
      <c r="K6" s="69"/>
      <c r="L6" s="67"/>
      <c r="M6" s="67"/>
      <c r="N6" s="67"/>
      <c r="O6" s="65"/>
      <c r="P6" s="65"/>
      <c r="Q6" s="65"/>
      <c r="R6" s="65"/>
    </row>
    <row r="7" spans="1:18" x14ac:dyDescent="0.3">
      <c r="A7" s="65"/>
      <c r="B7" s="65"/>
      <c r="C7" s="223"/>
      <c r="D7" s="70"/>
      <c r="E7" s="71"/>
      <c r="F7" s="65"/>
      <c r="G7" s="68"/>
      <c r="H7" s="65"/>
      <c r="I7" s="65"/>
      <c r="J7" s="67"/>
      <c r="K7" s="69"/>
      <c r="L7" s="67"/>
      <c r="M7" s="67"/>
      <c r="N7" s="67"/>
      <c r="O7" s="65"/>
      <c r="P7" s="65"/>
      <c r="Q7" s="65"/>
      <c r="R7" s="65"/>
    </row>
    <row r="8" spans="1:18" s="88" customFormat="1" ht="20.399999999999999" x14ac:dyDescent="0.3">
      <c r="A8" s="228" t="s">
        <v>209</v>
      </c>
      <c r="B8" s="229"/>
      <c r="C8" s="229"/>
      <c r="D8" s="229"/>
      <c r="E8" s="229"/>
      <c r="F8" s="229"/>
      <c r="G8" s="229"/>
      <c r="H8" s="229"/>
      <c r="I8" s="229"/>
      <c r="J8" s="229"/>
      <c r="K8" s="229"/>
      <c r="L8" s="229"/>
      <c r="M8" s="229"/>
      <c r="N8" s="229"/>
      <c r="O8" s="229"/>
      <c r="P8" s="229"/>
      <c r="Q8" s="229"/>
      <c r="R8" s="230"/>
    </row>
    <row r="9" spans="1:18" x14ac:dyDescent="0.3">
      <c r="A9" s="72"/>
      <c r="B9" s="72"/>
      <c r="C9" s="73"/>
      <c r="D9" s="74"/>
      <c r="E9" s="72"/>
      <c r="F9" s="72"/>
      <c r="G9" s="75"/>
      <c r="H9" s="72"/>
      <c r="I9" s="72"/>
      <c r="J9" s="73"/>
      <c r="K9" s="76"/>
      <c r="L9" s="73"/>
      <c r="M9" s="73"/>
      <c r="N9" s="77"/>
      <c r="O9" s="222" t="s">
        <v>16</v>
      </c>
      <c r="P9" s="222"/>
      <c r="Q9" s="222" t="s">
        <v>17</v>
      </c>
      <c r="R9" s="222"/>
    </row>
    <row r="10" spans="1:18" s="5" customFormat="1" ht="40.799999999999997" x14ac:dyDescent="0.3">
      <c r="A10" s="78" t="s">
        <v>18</v>
      </c>
      <c r="B10" s="78" t="s">
        <v>63</v>
      </c>
      <c r="C10" s="78" t="s">
        <v>62</v>
      </c>
      <c r="D10" s="79" t="s">
        <v>19</v>
      </c>
      <c r="E10" s="78" t="s">
        <v>82</v>
      </c>
      <c r="F10" s="78" t="s">
        <v>83</v>
      </c>
      <c r="G10" s="78" t="s">
        <v>6</v>
      </c>
      <c r="H10" s="91" t="s">
        <v>20</v>
      </c>
      <c r="I10" s="91" t="s">
        <v>59</v>
      </c>
      <c r="J10" s="91" t="s">
        <v>21</v>
      </c>
      <c r="K10" s="91" t="s">
        <v>24</v>
      </c>
      <c r="L10" s="91" t="s">
        <v>25</v>
      </c>
      <c r="M10" s="91" t="s">
        <v>61</v>
      </c>
      <c r="N10" s="91" t="s">
        <v>39</v>
      </c>
      <c r="O10" s="91" t="s">
        <v>12</v>
      </c>
      <c r="P10" s="91" t="s">
        <v>22</v>
      </c>
      <c r="Q10" s="91" t="s">
        <v>13</v>
      </c>
      <c r="R10" s="91" t="s">
        <v>14</v>
      </c>
    </row>
    <row r="11" spans="1:18" s="6" customFormat="1" ht="21.6" x14ac:dyDescent="0.3">
      <c r="A11" s="80">
        <v>1</v>
      </c>
      <c r="B11" s="25">
        <v>2131</v>
      </c>
      <c r="C11" s="93" t="s">
        <v>84</v>
      </c>
      <c r="D11" s="94">
        <v>48000000</v>
      </c>
      <c r="E11" s="80" t="s">
        <v>4</v>
      </c>
      <c r="F11" s="80" t="s">
        <v>5</v>
      </c>
      <c r="G11" s="102" t="s">
        <v>117</v>
      </c>
      <c r="H11" s="136">
        <v>45352</v>
      </c>
      <c r="I11" s="136">
        <v>45384</v>
      </c>
      <c r="J11" s="136">
        <f>I11</f>
        <v>45384</v>
      </c>
      <c r="K11" s="137" t="s">
        <v>60</v>
      </c>
      <c r="L11" s="138" t="s">
        <v>26</v>
      </c>
      <c r="M11" s="136">
        <v>45387</v>
      </c>
      <c r="N11" s="136">
        <f>M11+7</f>
        <v>45394</v>
      </c>
      <c r="O11" s="136">
        <f>N11+1</f>
        <v>45395</v>
      </c>
      <c r="P11" s="136">
        <f>O11+2</f>
        <v>45397</v>
      </c>
      <c r="Q11" s="136">
        <f>P11+1</f>
        <v>45398</v>
      </c>
      <c r="R11" s="136">
        <f>P11+30</f>
        <v>45427</v>
      </c>
    </row>
    <row r="12" spans="1:18" s="6" customFormat="1" x14ac:dyDescent="0.3">
      <c r="A12" s="80">
        <v>2</v>
      </c>
      <c r="B12" s="25">
        <v>2213</v>
      </c>
      <c r="C12" s="93" t="s">
        <v>85</v>
      </c>
      <c r="D12" s="94">
        <v>29500000</v>
      </c>
      <c r="E12" s="80" t="s">
        <v>4</v>
      </c>
      <c r="F12" s="80" t="s">
        <v>5</v>
      </c>
      <c r="G12" s="102" t="s">
        <v>118</v>
      </c>
      <c r="H12" s="136">
        <v>45355</v>
      </c>
      <c r="I12" s="136">
        <f>H12+15</f>
        <v>45370</v>
      </c>
      <c r="J12" s="136">
        <f>I12</f>
        <v>45370</v>
      </c>
      <c r="K12" s="137" t="s">
        <v>26</v>
      </c>
      <c r="L12" s="138" t="s">
        <v>26</v>
      </c>
      <c r="M12" s="136">
        <f>J12+7</f>
        <v>45377</v>
      </c>
      <c r="N12" s="136">
        <f>M12+7</f>
        <v>45384</v>
      </c>
      <c r="O12" s="136">
        <f>N12+1</f>
        <v>45385</v>
      </c>
      <c r="P12" s="136">
        <f>N12+2</f>
        <v>45386</v>
      </c>
      <c r="Q12" s="136">
        <f>P12+1</f>
        <v>45387</v>
      </c>
      <c r="R12" s="136">
        <f>Q12+30</f>
        <v>45417</v>
      </c>
    </row>
    <row r="13" spans="1:18" s="6" customFormat="1" ht="21.6" x14ac:dyDescent="0.3">
      <c r="A13" s="80">
        <v>3</v>
      </c>
      <c r="B13" s="21">
        <v>2310</v>
      </c>
      <c r="C13" s="56" t="s">
        <v>86</v>
      </c>
      <c r="D13" s="95">
        <v>29500000</v>
      </c>
      <c r="E13" s="80" t="s">
        <v>4</v>
      </c>
      <c r="F13" s="80" t="s">
        <v>5</v>
      </c>
      <c r="G13" s="102" t="s">
        <v>118</v>
      </c>
      <c r="H13" s="136">
        <v>45360</v>
      </c>
      <c r="I13" s="136">
        <v>45394</v>
      </c>
      <c r="J13" s="136">
        <f>I13+15</f>
        <v>45409</v>
      </c>
      <c r="K13" s="136">
        <f>J13</f>
        <v>45409</v>
      </c>
      <c r="L13" s="137" t="s">
        <v>26</v>
      </c>
      <c r="M13" s="138" t="s">
        <v>26</v>
      </c>
      <c r="N13" s="136">
        <f>K13+7</f>
        <v>45416</v>
      </c>
      <c r="O13" s="136">
        <f>N13+7</f>
        <v>45423</v>
      </c>
      <c r="P13" s="136">
        <f>O13+1</f>
        <v>45424</v>
      </c>
      <c r="Q13" s="136">
        <f>O13+2</f>
        <v>45425</v>
      </c>
      <c r="R13" s="136">
        <f>Q13+1</f>
        <v>45426</v>
      </c>
    </row>
    <row r="14" spans="1:18" s="6" customFormat="1" ht="21.6" x14ac:dyDescent="0.3">
      <c r="A14" s="80">
        <v>4</v>
      </c>
      <c r="B14" s="21">
        <v>2339</v>
      </c>
      <c r="C14" s="56" t="s">
        <v>87</v>
      </c>
      <c r="D14" s="95">
        <v>29000000</v>
      </c>
      <c r="E14" s="80" t="s">
        <v>4</v>
      </c>
      <c r="F14" s="80" t="s">
        <v>5</v>
      </c>
      <c r="G14" s="102" t="s">
        <v>118</v>
      </c>
      <c r="H14" s="136">
        <v>45362</v>
      </c>
      <c r="I14" s="136">
        <f>H14+15</f>
        <v>45377</v>
      </c>
      <c r="J14" s="136">
        <f t="shared" ref="J14:J22" si="0">I14</f>
        <v>45377</v>
      </c>
      <c r="K14" s="137" t="s">
        <v>60</v>
      </c>
      <c r="L14" s="138" t="s">
        <v>26</v>
      </c>
      <c r="M14" s="136">
        <f>J14+7</f>
        <v>45384</v>
      </c>
      <c r="N14" s="136">
        <f t="shared" ref="N14:N21" si="1">M14+7</f>
        <v>45391</v>
      </c>
      <c r="O14" s="136">
        <f t="shared" ref="O14:O22" si="2">N14+1</f>
        <v>45392</v>
      </c>
      <c r="P14" s="136">
        <f>O14+2</f>
        <v>45394</v>
      </c>
      <c r="Q14" s="136">
        <f t="shared" ref="Q14:Q20" si="3">P14+1</f>
        <v>45395</v>
      </c>
      <c r="R14" s="136">
        <f>P14+30</f>
        <v>45424</v>
      </c>
    </row>
    <row r="15" spans="1:18" s="6" customFormat="1" ht="21.6" x14ac:dyDescent="0.3">
      <c r="A15" s="80">
        <v>5</v>
      </c>
      <c r="B15" s="21">
        <v>2355</v>
      </c>
      <c r="C15" s="56" t="s">
        <v>88</v>
      </c>
      <c r="D15" s="95">
        <v>29000000</v>
      </c>
      <c r="E15" s="80" t="s">
        <v>4</v>
      </c>
      <c r="F15" s="80" t="s">
        <v>5</v>
      </c>
      <c r="G15" s="102" t="s">
        <v>118</v>
      </c>
      <c r="H15" s="136">
        <v>45352</v>
      </c>
      <c r="I15" s="136">
        <f>H15+15</f>
        <v>45367</v>
      </c>
      <c r="J15" s="136">
        <f t="shared" si="0"/>
        <v>45367</v>
      </c>
      <c r="K15" s="137" t="s">
        <v>60</v>
      </c>
      <c r="L15" s="138" t="s">
        <v>26</v>
      </c>
      <c r="M15" s="136">
        <f>J15+7</f>
        <v>45374</v>
      </c>
      <c r="N15" s="136">
        <f t="shared" si="1"/>
        <v>45381</v>
      </c>
      <c r="O15" s="136">
        <f t="shared" si="2"/>
        <v>45382</v>
      </c>
      <c r="P15" s="136">
        <f>O15+2</f>
        <v>45384</v>
      </c>
      <c r="Q15" s="136">
        <f t="shared" si="3"/>
        <v>45385</v>
      </c>
      <c r="R15" s="136">
        <f>P15+30</f>
        <v>45414</v>
      </c>
    </row>
    <row r="16" spans="1:18" s="92" customFormat="1" x14ac:dyDescent="0.3">
      <c r="A16" s="81">
        <v>6</v>
      </c>
      <c r="B16" s="25">
        <v>2411</v>
      </c>
      <c r="C16" s="96" t="s">
        <v>89</v>
      </c>
      <c r="D16" s="97">
        <v>45000000</v>
      </c>
      <c r="E16" s="81" t="s">
        <v>4</v>
      </c>
      <c r="F16" s="81" t="s">
        <v>5</v>
      </c>
      <c r="G16" s="102" t="s">
        <v>117</v>
      </c>
      <c r="H16" s="136">
        <v>45362</v>
      </c>
      <c r="I16" s="136">
        <v>45395</v>
      </c>
      <c r="J16" s="136">
        <f t="shared" si="0"/>
        <v>45395</v>
      </c>
      <c r="K16" s="137" t="s">
        <v>60</v>
      </c>
      <c r="L16" s="138" t="s">
        <v>26</v>
      </c>
      <c r="M16" s="136">
        <f>J16+7</f>
        <v>45402</v>
      </c>
      <c r="N16" s="136">
        <f t="shared" si="1"/>
        <v>45409</v>
      </c>
      <c r="O16" s="136">
        <f t="shared" si="2"/>
        <v>45410</v>
      </c>
      <c r="P16" s="136">
        <f>O16+2</f>
        <v>45412</v>
      </c>
      <c r="Q16" s="136">
        <f t="shared" si="3"/>
        <v>45413</v>
      </c>
      <c r="R16" s="136">
        <f>P16+30</f>
        <v>45442</v>
      </c>
    </row>
    <row r="17" spans="1:18" s="92" customFormat="1" x14ac:dyDescent="0.3">
      <c r="A17" s="81">
        <v>7</v>
      </c>
      <c r="B17" s="25">
        <v>2421</v>
      </c>
      <c r="C17" s="96" t="s">
        <v>90</v>
      </c>
      <c r="D17" s="97">
        <v>29000000</v>
      </c>
      <c r="E17" s="81" t="s">
        <v>4</v>
      </c>
      <c r="F17" s="81" t="s">
        <v>5</v>
      </c>
      <c r="G17" s="102" t="s">
        <v>118</v>
      </c>
      <c r="H17" s="136">
        <v>45359</v>
      </c>
      <c r="I17" s="136">
        <f>+H17+7</f>
        <v>45366</v>
      </c>
      <c r="J17" s="136">
        <f t="shared" si="0"/>
        <v>45366</v>
      </c>
      <c r="K17" s="139" t="s">
        <v>26</v>
      </c>
      <c r="L17" s="136" t="s">
        <v>26</v>
      </c>
      <c r="M17" s="136">
        <v>45369</v>
      </c>
      <c r="N17" s="136">
        <v>45375</v>
      </c>
      <c r="O17" s="136">
        <f t="shared" si="2"/>
        <v>45376</v>
      </c>
      <c r="P17" s="136">
        <f>N17+2</f>
        <v>45377</v>
      </c>
      <c r="Q17" s="136">
        <f t="shared" si="3"/>
        <v>45378</v>
      </c>
      <c r="R17" s="136">
        <f>P17+15</f>
        <v>45392</v>
      </c>
    </row>
    <row r="18" spans="1:18" s="92" customFormat="1" x14ac:dyDescent="0.3">
      <c r="A18" s="81">
        <v>8</v>
      </c>
      <c r="B18" s="25">
        <v>2432</v>
      </c>
      <c r="C18" s="96" t="s">
        <v>91</v>
      </c>
      <c r="D18" s="97">
        <v>430000000</v>
      </c>
      <c r="E18" s="81" t="s">
        <v>4</v>
      </c>
      <c r="F18" s="81" t="s">
        <v>5</v>
      </c>
      <c r="G18" s="103" t="s">
        <v>119</v>
      </c>
      <c r="H18" s="136">
        <v>45356</v>
      </c>
      <c r="I18" s="136">
        <f>H18+15</f>
        <v>45371</v>
      </c>
      <c r="J18" s="136">
        <f t="shared" si="0"/>
        <v>45371</v>
      </c>
      <c r="K18" s="137" t="s">
        <v>60</v>
      </c>
      <c r="L18" s="138" t="s">
        <v>26</v>
      </c>
      <c r="M18" s="136">
        <f>J18+7</f>
        <v>45378</v>
      </c>
      <c r="N18" s="136">
        <f t="shared" si="1"/>
        <v>45385</v>
      </c>
      <c r="O18" s="136">
        <f t="shared" si="2"/>
        <v>45386</v>
      </c>
      <c r="P18" s="136">
        <f>O18+2</f>
        <v>45388</v>
      </c>
      <c r="Q18" s="136">
        <f t="shared" si="3"/>
        <v>45389</v>
      </c>
      <c r="R18" s="136">
        <f>P18+30</f>
        <v>45418</v>
      </c>
    </row>
    <row r="19" spans="1:18" s="92" customFormat="1" x14ac:dyDescent="0.3">
      <c r="A19" s="81">
        <v>9</v>
      </c>
      <c r="B19" s="25">
        <v>2433</v>
      </c>
      <c r="C19" s="96" t="s">
        <v>92</v>
      </c>
      <c r="D19" s="97">
        <v>5000000</v>
      </c>
      <c r="E19" s="81" t="s">
        <v>4</v>
      </c>
      <c r="F19" s="81" t="s">
        <v>5</v>
      </c>
      <c r="G19" s="103" t="s">
        <v>120</v>
      </c>
      <c r="H19" s="136">
        <v>45356</v>
      </c>
      <c r="I19" s="136">
        <f>H19+15</f>
        <v>45371</v>
      </c>
      <c r="J19" s="136">
        <f t="shared" si="0"/>
        <v>45371</v>
      </c>
      <c r="K19" s="137"/>
      <c r="L19" s="138"/>
      <c r="M19" s="136">
        <f>J19+7</f>
        <v>45378</v>
      </c>
      <c r="N19" s="136">
        <f t="shared" si="1"/>
        <v>45385</v>
      </c>
      <c r="O19" s="136">
        <f t="shared" si="2"/>
        <v>45386</v>
      </c>
      <c r="P19" s="136">
        <f>O19+2</f>
        <v>45388</v>
      </c>
      <c r="Q19" s="136">
        <f t="shared" si="3"/>
        <v>45389</v>
      </c>
      <c r="R19" s="136">
        <f>P19+30</f>
        <v>45418</v>
      </c>
    </row>
    <row r="20" spans="1:18" s="92" customFormat="1" ht="21.6" x14ac:dyDescent="0.3">
      <c r="A20" s="81">
        <v>10</v>
      </c>
      <c r="B20" s="25">
        <v>2449</v>
      </c>
      <c r="C20" s="96" t="s">
        <v>93</v>
      </c>
      <c r="D20" s="97">
        <v>29000000</v>
      </c>
      <c r="E20" s="81" t="s">
        <v>4</v>
      </c>
      <c r="F20" s="81" t="s">
        <v>5</v>
      </c>
      <c r="G20" s="103" t="s">
        <v>118</v>
      </c>
      <c r="H20" s="136">
        <v>45369</v>
      </c>
      <c r="I20" s="136">
        <f>H20+15</f>
        <v>45384</v>
      </c>
      <c r="J20" s="136">
        <f t="shared" si="0"/>
        <v>45384</v>
      </c>
      <c r="K20" s="137"/>
      <c r="L20" s="138"/>
      <c r="M20" s="136">
        <f>J20+7</f>
        <v>45391</v>
      </c>
      <c r="N20" s="136">
        <f t="shared" si="1"/>
        <v>45398</v>
      </c>
      <c r="O20" s="136">
        <f t="shared" si="2"/>
        <v>45399</v>
      </c>
      <c r="P20" s="136">
        <f>O20+2</f>
        <v>45401</v>
      </c>
      <c r="Q20" s="136">
        <f t="shared" si="3"/>
        <v>45402</v>
      </c>
      <c r="R20" s="136">
        <f>P20+30</f>
        <v>45431</v>
      </c>
    </row>
    <row r="21" spans="1:18" s="6" customFormat="1" ht="21.6" x14ac:dyDescent="0.3">
      <c r="A21" s="80">
        <v>11</v>
      </c>
      <c r="B21" s="21">
        <v>2537</v>
      </c>
      <c r="C21" s="56" t="s">
        <v>94</v>
      </c>
      <c r="D21" s="95">
        <v>300000000</v>
      </c>
      <c r="E21" s="80" t="s">
        <v>4</v>
      </c>
      <c r="F21" s="80" t="s">
        <v>5</v>
      </c>
      <c r="G21" s="104" t="s">
        <v>119</v>
      </c>
      <c r="H21" s="136">
        <v>45436</v>
      </c>
      <c r="I21" s="136">
        <f>H21+7</f>
        <v>45443</v>
      </c>
      <c r="J21" s="136">
        <f t="shared" si="0"/>
        <v>45443</v>
      </c>
      <c r="K21" s="139" t="s">
        <v>26</v>
      </c>
      <c r="L21" s="136" t="s">
        <v>26</v>
      </c>
      <c r="M21" s="136">
        <v>45450</v>
      </c>
      <c r="N21" s="136">
        <f t="shared" si="1"/>
        <v>45457</v>
      </c>
      <c r="O21" s="136">
        <f t="shared" si="2"/>
        <v>45458</v>
      </c>
      <c r="P21" s="136">
        <f>O21+2</f>
        <v>45460</v>
      </c>
      <c r="Q21" s="136">
        <v>45454</v>
      </c>
      <c r="R21" s="136">
        <v>45483</v>
      </c>
    </row>
    <row r="22" spans="1:18" s="6" customFormat="1" ht="21.6" x14ac:dyDescent="0.3">
      <c r="A22" s="80">
        <v>12</v>
      </c>
      <c r="B22" s="21">
        <v>6011</v>
      </c>
      <c r="C22" s="56" t="s">
        <v>95</v>
      </c>
      <c r="D22" s="95">
        <v>29500000</v>
      </c>
      <c r="E22" s="80" t="s">
        <v>4</v>
      </c>
      <c r="F22" s="80" t="s">
        <v>5</v>
      </c>
      <c r="G22" s="104" t="s">
        <v>118</v>
      </c>
      <c r="H22" s="136">
        <v>45402</v>
      </c>
      <c r="I22" s="136">
        <f>H22+7</f>
        <v>45409</v>
      </c>
      <c r="J22" s="136">
        <f t="shared" si="0"/>
        <v>45409</v>
      </c>
      <c r="K22" s="139" t="s">
        <v>26</v>
      </c>
      <c r="L22" s="136" t="s">
        <v>26</v>
      </c>
      <c r="M22" s="136">
        <f>+J22+7</f>
        <v>45416</v>
      </c>
      <c r="N22" s="136">
        <f>+M22+7</f>
        <v>45423</v>
      </c>
      <c r="O22" s="136">
        <f t="shared" si="2"/>
        <v>45424</v>
      </c>
      <c r="P22" s="136">
        <f>O22+2</f>
        <v>45426</v>
      </c>
      <c r="Q22" s="136">
        <f>+P22+1</f>
        <v>45427</v>
      </c>
      <c r="R22" s="136">
        <f>+Q22+10</f>
        <v>45437</v>
      </c>
    </row>
    <row r="23" spans="1:18" s="6" customFormat="1" x14ac:dyDescent="0.3">
      <c r="A23" s="80">
        <v>13</v>
      </c>
      <c r="B23" s="21">
        <v>6012</v>
      </c>
      <c r="C23" s="56" t="s">
        <v>96</v>
      </c>
      <c r="D23" s="95">
        <v>85000000</v>
      </c>
      <c r="E23" s="81" t="s">
        <v>4</v>
      </c>
      <c r="F23" s="81" t="s">
        <v>5</v>
      </c>
      <c r="G23" s="104" t="s">
        <v>119</v>
      </c>
      <c r="H23" s="136">
        <v>45352</v>
      </c>
      <c r="I23" s="136">
        <v>45387</v>
      </c>
      <c r="J23" s="136" t="s">
        <v>26</v>
      </c>
      <c r="K23" s="139" t="s">
        <v>26</v>
      </c>
      <c r="L23" s="136" t="s">
        <v>26</v>
      </c>
      <c r="M23" s="136" t="e">
        <f>J23+3</f>
        <v>#VALUE!</v>
      </c>
      <c r="N23" s="136" t="e">
        <f>M23+7</f>
        <v>#VALUE!</v>
      </c>
      <c r="O23" s="136">
        <v>45416</v>
      </c>
      <c r="P23" s="136">
        <v>45417</v>
      </c>
      <c r="Q23" s="136">
        <v>45417</v>
      </c>
      <c r="R23" s="136">
        <v>45657</v>
      </c>
    </row>
    <row r="24" spans="1:18" s="92" customFormat="1" ht="21.6" x14ac:dyDescent="0.3">
      <c r="A24" s="81">
        <v>12</v>
      </c>
      <c r="B24" s="25">
        <v>6014</v>
      </c>
      <c r="C24" s="96" t="s">
        <v>97</v>
      </c>
      <c r="D24" s="97">
        <v>45000000</v>
      </c>
      <c r="E24" s="81" t="s">
        <v>4</v>
      </c>
      <c r="F24" s="81" t="s">
        <v>5</v>
      </c>
      <c r="G24" s="103" t="s">
        <v>117</v>
      </c>
      <c r="H24" s="136">
        <v>45488</v>
      </c>
      <c r="I24" s="136">
        <f>H24+7</f>
        <v>45495</v>
      </c>
      <c r="J24" s="136">
        <f>I24</f>
        <v>45495</v>
      </c>
      <c r="K24" s="139" t="s">
        <v>26</v>
      </c>
      <c r="L24" s="136" t="s">
        <v>26</v>
      </c>
      <c r="M24" s="136">
        <f>J24+4</f>
        <v>45499</v>
      </c>
      <c r="N24" s="136">
        <f>M24+7</f>
        <v>45506</v>
      </c>
      <c r="O24" s="136">
        <f>N24+1</f>
        <v>45507</v>
      </c>
      <c r="P24" s="136">
        <f>O24+2</f>
        <v>45509</v>
      </c>
      <c r="Q24" s="136">
        <f>P24+1</f>
        <v>45510</v>
      </c>
      <c r="R24" s="136">
        <f>P24+7</f>
        <v>45516</v>
      </c>
    </row>
    <row r="25" spans="1:18" s="6" customFormat="1" x14ac:dyDescent="0.3">
      <c r="A25" s="80">
        <v>13</v>
      </c>
      <c r="B25" s="21">
        <v>6015</v>
      </c>
      <c r="C25" s="56" t="s">
        <v>98</v>
      </c>
      <c r="D25" s="95">
        <v>29500000</v>
      </c>
      <c r="E25" s="80" t="s">
        <v>4</v>
      </c>
      <c r="F25" s="80" t="s">
        <v>5</v>
      </c>
      <c r="G25" s="104" t="s">
        <v>118</v>
      </c>
      <c r="H25" s="136">
        <v>45485</v>
      </c>
      <c r="I25" s="136">
        <f>H25+7</f>
        <v>45492</v>
      </c>
      <c r="J25" s="136">
        <f>I25</f>
        <v>45492</v>
      </c>
      <c r="K25" s="139" t="s">
        <v>26</v>
      </c>
      <c r="L25" s="136" t="s">
        <v>26</v>
      </c>
      <c r="M25" s="136">
        <f>J25+4</f>
        <v>45496</v>
      </c>
      <c r="N25" s="136">
        <f>M25+7</f>
        <v>45503</v>
      </c>
      <c r="O25" s="136">
        <f>N25+1</f>
        <v>45504</v>
      </c>
      <c r="P25" s="136">
        <f>O25+2</f>
        <v>45506</v>
      </c>
      <c r="Q25" s="136">
        <f>P25+1</f>
        <v>45507</v>
      </c>
      <c r="R25" s="136">
        <f>P25+7</f>
        <v>45513</v>
      </c>
    </row>
    <row r="26" spans="1:18" s="6" customFormat="1" x14ac:dyDescent="0.3">
      <c r="A26" s="80">
        <v>14</v>
      </c>
      <c r="B26" s="21">
        <v>6019</v>
      </c>
      <c r="C26" s="56" t="s">
        <v>99</v>
      </c>
      <c r="D26" s="95">
        <v>29500000</v>
      </c>
      <c r="E26" s="80" t="s">
        <v>4</v>
      </c>
      <c r="F26" s="80" t="s">
        <v>5</v>
      </c>
      <c r="G26" s="104" t="s">
        <v>118</v>
      </c>
      <c r="H26" s="136">
        <v>45422</v>
      </c>
      <c r="I26" s="136">
        <v>45436</v>
      </c>
      <c r="J26" s="136">
        <v>45436</v>
      </c>
      <c r="K26" s="139" t="s">
        <v>26</v>
      </c>
      <c r="L26" s="136" t="s">
        <v>26</v>
      </c>
      <c r="M26" s="136">
        <f>J26+3</f>
        <v>45439</v>
      </c>
      <c r="N26" s="136">
        <f>M26+7</f>
        <v>45446</v>
      </c>
      <c r="O26" s="136">
        <v>45444</v>
      </c>
      <c r="P26" s="136">
        <v>45446</v>
      </c>
      <c r="Q26" s="136">
        <v>45446</v>
      </c>
      <c r="R26" s="136">
        <v>45476</v>
      </c>
    </row>
    <row r="27" spans="1:18" s="6" customFormat="1" x14ac:dyDescent="0.3">
      <c r="A27" s="80">
        <v>15</v>
      </c>
      <c r="B27" s="98">
        <v>6052</v>
      </c>
      <c r="C27" s="99" t="s">
        <v>100</v>
      </c>
      <c r="D27" s="100">
        <v>7000000</v>
      </c>
      <c r="E27" s="80" t="s">
        <v>4</v>
      </c>
      <c r="F27" s="80" t="s">
        <v>5</v>
      </c>
      <c r="G27" s="105"/>
      <c r="H27" s="136">
        <v>45292</v>
      </c>
      <c r="I27" s="136" t="s">
        <v>26</v>
      </c>
      <c r="J27" s="136" t="str">
        <f>I27</f>
        <v>NA</v>
      </c>
      <c r="K27" s="139" t="s">
        <v>26</v>
      </c>
      <c r="L27" s="136" t="s">
        <v>26</v>
      </c>
      <c r="M27" s="136" t="e">
        <f>+J27+3</f>
        <v>#VALUE!</v>
      </c>
      <c r="N27" s="136" t="e">
        <f>M27+7</f>
        <v>#VALUE!</v>
      </c>
      <c r="O27" s="136" t="e">
        <f>N27+1</f>
        <v>#VALUE!</v>
      </c>
      <c r="P27" s="136" t="e">
        <f>N27+2</f>
        <v>#VALUE!</v>
      </c>
      <c r="Q27" s="136" t="e">
        <f>P27+1</f>
        <v>#VALUE!</v>
      </c>
      <c r="R27" s="136" t="e">
        <f>P27+15</f>
        <v>#VALUE!</v>
      </c>
    </row>
    <row r="28" spans="1:18" s="6" customFormat="1" x14ac:dyDescent="0.3">
      <c r="A28" s="80">
        <v>16</v>
      </c>
      <c r="B28" s="98">
        <v>6053</v>
      </c>
      <c r="C28" s="99" t="s">
        <v>101</v>
      </c>
      <c r="D28" s="100">
        <v>25000000</v>
      </c>
      <c r="E28" s="81" t="s">
        <v>4</v>
      </c>
      <c r="F28" s="81" t="s">
        <v>5</v>
      </c>
      <c r="G28" s="105"/>
      <c r="H28" s="136">
        <v>45292</v>
      </c>
      <c r="I28" s="136" t="s">
        <v>26</v>
      </c>
      <c r="J28" s="136" t="s">
        <v>26</v>
      </c>
      <c r="K28" s="139" t="s">
        <v>26</v>
      </c>
      <c r="L28" s="136" t="s">
        <v>26</v>
      </c>
      <c r="M28" s="136" t="s">
        <v>26</v>
      </c>
      <c r="N28" s="136">
        <v>45428</v>
      </c>
      <c r="O28" s="136">
        <v>45430</v>
      </c>
      <c r="P28" s="136">
        <v>45432</v>
      </c>
      <c r="Q28" s="136">
        <v>45432</v>
      </c>
      <c r="R28" s="136">
        <v>45493</v>
      </c>
    </row>
    <row r="29" spans="1:18" s="6" customFormat="1" x14ac:dyDescent="0.3">
      <c r="A29" s="80">
        <v>17</v>
      </c>
      <c r="B29" s="98">
        <v>6121</v>
      </c>
      <c r="C29" s="99" t="s">
        <v>102</v>
      </c>
      <c r="D29" s="100">
        <v>105000000</v>
      </c>
      <c r="E29" s="81" t="s">
        <v>4</v>
      </c>
      <c r="F29" s="81" t="s">
        <v>5</v>
      </c>
      <c r="G29" s="105"/>
      <c r="H29" s="136">
        <v>45324</v>
      </c>
      <c r="I29" s="136">
        <v>45324</v>
      </c>
      <c r="J29" s="136" t="s">
        <v>26</v>
      </c>
      <c r="K29" s="139" t="s">
        <v>26</v>
      </c>
      <c r="L29" s="136" t="s">
        <v>26</v>
      </c>
      <c r="M29" s="136">
        <f>+I29+7</f>
        <v>45331</v>
      </c>
      <c r="N29" s="136">
        <f>M29+7</f>
        <v>45338</v>
      </c>
      <c r="O29" s="136">
        <f>N29+1</f>
        <v>45339</v>
      </c>
      <c r="P29" s="136">
        <f>O29+2</f>
        <v>45341</v>
      </c>
      <c r="Q29" s="136">
        <v>45474</v>
      </c>
      <c r="R29" s="136">
        <v>45657</v>
      </c>
    </row>
    <row r="30" spans="1:18" s="92" customFormat="1" x14ac:dyDescent="0.3">
      <c r="A30" s="81">
        <v>18</v>
      </c>
      <c r="B30" s="25">
        <v>6127</v>
      </c>
      <c r="C30" s="96" t="s">
        <v>103</v>
      </c>
      <c r="D30" s="97">
        <v>15000000</v>
      </c>
      <c r="E30" s="81" t="s">
        <v>4</v>
      </c>
      <c r="F30" s="81" t="s">
        <v>5</v>
      </c>
      <c r="G30" s="106"/>
      <c r="H30" s="136" t="s">
        <v>26</v>
      </c>
      <c r="I30" s="136" t="s">
        <v>26</v>
      </c>
      <c r="J30" s="136" t="s">
        <v>26</v>
      </c>
      <c r="K30" s="136" t="s">
        <v>26</v>
      </c>
      <c r="L30" s="136" t="s">
        <v>26</v>
      </c>
      <c r="M30" s="136" t="s">
        <v>26</v>
      </c>
      <c r="N30" s="136" t="s">
        <v>26</v>
      </c>
      <c r="O30" s="136" t="s">
        <v>26</v>
      </c>
      <c r="P30" s="136" t="s">
        <v>26</v>
      </c>
      <c r="Q30" s="136" t="s">
        <v>26</v>
      </c>
      <c r="R30" s="136" t="s">
        <v>26</v>
      </c>
    </row>
    <row r="31" spans="1:18" s="6" customFormat="1" ht="21.6" x14ac:dyDescent="0.3">
      <c r="A31" s="80">
        <v>19</v>
      </c>
      <c r="B31" s="21">
        <v>6141</v>
      </c>
      <c r="C31" s="56" t="s">
        <v>104</v>
      </c>
      <c r="D31" s="95">
        <v>30000000</v>
      </c>
      <c r="E31" s="81" t="s">
        <v>4</v>
      </c>
      <c r="F31" s="81" t="s">
        <v>5</v>
      </c>
      <c r="G31" s="104"/>
      <c r="H31" s="136">
        <v>45642</v>
      </c>
      <c r="I31" s="136">
        <f>H31+7</f>
        <v>45649</v>
      </c>
      <c r="J31" s="136">
        <f>I31</f>
        <v>45649</v>
      </c>
      <c r="K31" s="139" t="s">
        <v>26</v>
      </c>
      <c r="L31" s="136" t="s">
        <v>26</v>
      </c>
      <c r="M31" s="136">
        <v>45389</v>
      </c>
      <c r="N31" s="136">
        <f>M31+7</f>
        <v>45396</v>
      </c>
      <c r="O31" s="136">
        <f>N31+1</f>
        <v>45397</v>
      </c>
      <c r="P31" s="136">
        <f>O31+2</f>
        <v>45399</v>
      </c>
      <c r="Q31" s="136">
        <v>45292</v>
      </c>
      <c r="R31" s="136">
        <v>45657</v>
      </c>
    </row>
    <row r="32" spans="1:18" s="6" customFormat="1" ht="21.6" x14ac:dyDescent="0.3">
      <c r="A32" s="80">
        <v>20</v>
      </c>
      <c r="B32" s="21">
        <v>6143</v>
      </c>
      <c r="C32" s="56" t="s">
        <v>105</v>
      </c>
      <c r="D32" s="95">
        <v>29500000</v>
      </c>
      <c r="E32" s="81" t="s">
        <v>4</v>
      </c>
      <c r="F32" s="81" t="s">
        <v>5</v>
      </c>
      <c r="G32" s="104"/>
      <c r="H32" s="136">
        <v>45642</v>
      </c>
      <c r="I32" s="136">
        <f>H32+7</f>
        <v>45649</v>
      </c>
      <c r="J32" s="136">
        <f>I32</f>
        <v>45649</v>
      </c>
      <c r="K32" s="139" t="s">
        <v>26</v>
      </c>
      <c r="L32" s="136" t="s">
        <v>26</v>
      </c>
      <c r="M32" s="136">
        <v>45389</v>
      </c>
      <c r="N32" s="136">
        <f>M32+7</f>
        <v>45396</v>
      </c>
      <c r="O32" s="136">
        <f>N32+1</f>
        <v>45397</v>
      </c>
      <c r="P32" s="136">
        <f>O32+2</f>
        <v>45399</v>
      </c>
      <c r="Q32" s="136">
        <v>45292</v>
      </c>
      <c r="R32" s="136">
        <v>45657</v>
      </c>
    </row>
    <row r="33" spans="1:18" s="6" customFormat="1" ht="21.6" x14ac:dyDescent="0.3">
      <c r="A33" s="80">
        <v>21</v>
      </c>
      <c r="B33" s="21">
        <v>6144</v>
      </c>
      <c r="C33" s="56" t="s">
        <v>106</v>
      </c>
      <c r="D33" s="95">
        <v>52000000</v>
      </c>
      <c r="E33" s="81" t="s">
        <v>4</v>
      </c>
      <c r="F33" s="81" t="s">
        <v>5</v>
      </c>
      <c r="G33" s="104" t="s">
        <v>119</v>
      </c>
      <c r="H33" s="136">
        <v>45477</v>
      </c>
      <c r="I33" s="136">
        <f>H33+7</f>
        <v>45484</v>
      </c>
      <c r="J33" s="136">
        <f>I33</f>
        <v>45484</v>
      </c>
      <c r="K33" s="139" t="s">
        <v>26</v>
      </c>
      <c r="L33" s="136" t="s">
        <v>26</v>
      </c>
      <c r="M33" s="136">
        <f>+J33+3</f>
        <v>45487</v>
      </c>
      <c r="N33" s="136">
        <f>+M33+7</f>
        <v>45494</v>
      </c>
      <c r="O33" s="136">
        <f>N33+1</f>
        <v>45495</v>
      </c>
      <c r="P33" s="136">
        <f>N33+2</f>
        <v>45496</v>
      </c>
      <c r="Q33" s="136">
        <f>P33+1</f>
        <v>45497</v>
      </c>
      <c r="R33" s="136">
        <f>Q33+30</f>
        <v>45527</v>
      </c>
    </row>
    <row r="34" spans="1:18" s="6" customFormat="1" ht="21.6" x14ac:dyDescent="0.3">
      <c r="A34" s="80">
        <v>22</v>
      </c>
      <c r="B34" s="21">
        <v>6145</v>
      </c>
      <c r="C34" s="56" t="s">
        <v>107</v>
      </c>
      <c r="D34" s="95">
        <v>60000000</v>
      </c>
      <c r="E34" s="81" t="s">
        <v>4</v>
      </c>
      <c r="F34" s="81" t="s">
        <v>5</v>
      </c>
      <c r="G34" s="104" t="s">
        <v>119</v>
      </c>
      <c r="H34" s="136">
        <v>45477</v>
      </c>
      <c r="I34" s="136">
        <f>H34+7</f>
        <v>45484</v>
      </c>
      <c r="J34" s="136">
        <f>I34</f>
        <v>45484</v>
      </c>
      <c r="K34" s="139" t="s">
        <v>26</v>
      </c>
      <c r="L34" s="136" t="s">
        <v>26</v>
      </c>
      <c r="M34" s="136">
        <f>+J34+3</f>
        <v>45487</v>
      </c>
      <c r="N34" s="136">
        <f>+M34+7</f>
        <v>45494</v>
      </c>
      <c r="O34" s="136">
        <f>N34+1</f>
        <v>45495</v>
      </c>
      <c r="P34" s="136">
        <f>N34+2</f>
        <v>45496</v>
      </c>
      <c r="Q34" s="136">
        <f>P34+1</f>
        <v>45497</v>
      </c>
      <c r="R34" s="136">
        <f>Q34+30</f>
        <v>45527</v>
      </c>
    </row>
    <row r="35" spans="1:18" s="6" customFormat="1" ht="21.6" x14ac:dyDescent="0.3">
      <c r="A35" s="80">
        <v>23</v>
      </c>
      <c r="B35" s="21">
        <v>6146</v>
      </c>
      <c r="C35" s="56" t="s">
        <v>108</v>
      </c>
      <c r="D35" s="95">
        <v>30000000</v>
      </c>
      <c r="E35" s="81" t="s">
        <v>4</v>
      </c>
      <c r="F35" s="81" t="s">
        <v>5</v>
      </c>
      <c r="G35" s="104" t="s">
        <v>119</v>
      </c>
      <c r="H35" s="136">
        <v>45491</v>
      </c>
      <c r="I35" s="136">
        <f>H35+7</f>
        <v>45498</v>
      </c>
      <c r="J35" s="136">
        <f>I35</f>
        <v>45498</v>
      </c>
      <c r="K35" s="139" t="s">
        <v>26</v>
      </c>
      <c r="L35" s="136" t="s">
        <v>26</v>
      </c>
      <c r="M35" s="136">
        <f>+J35+3</f>
        <v>45501</v>
      </c>
      <c r="N35" s="136">
        <f>+M35+7</f>
        <v>45508</v>
      </c>
      <c r="O35" s="136">
        <f>N35+1</f>
        <v>45509</v>
      </c>
      <c r="P35" s="136">
        <f>N35+2</f>
        <v>45510</v>
      </c>
      <c r="Q35" s="136">
        <f>P35+1</f>
        <v>45511</v>
      </c>
      <c r="R35" s="136">
        <f>Q35+30</f>
        <v>45541</v>
      </c>
    </row>
    <row r="36" spans="1:18" s="92" customFormat="1" x14ac:dyDescent="0.3">
      <c r="A36" s="81">
        <v>24</v>
      </c>
      <c r="B36" s="25">
        <v>6147</v>
      </c>
      <c r="C36" s="96" t="s">
        <v>109</v>
      </c>
      <c r="D36" s="97">
        <v>70000000</v>
      </c>
      <c r="E36" s="81" t="s">
        <v>4</v>
      </c>
      <c r="F36" s="81" t="s">
        <v>5</v>
      </c>
      <c r="G36" s="103" t="s">
        <v>119</v>
      </c>
      <c r="H36" s="136" t="s">
        <v>26</v>
      </c>
      <c r="I36" s="136" t="s">
        <v>26</v>
      </c>
      <c r="J36" s="136" t="s">
        <v>26</v>
      </c>
      <c r="K36" s="136" t="s">
        <v>26</v>
      </c>
      <c r="L36" s="136" t="s">
        <v>26</v>
      </c>
      <c r="M36" s="136" t="s">
        <v>26</v>
      </c>
      <c r="N36" s="136" t="s">
        <v>26</v>
      </c>
      <c r="O36" s="136" t="s">
        <v>26</v>
      </c>
      <c r="P36" s="136" t="s">
        <v>26</v>
      </c>
      <c r="Q36" s="136" t="s">
        <v>26</v>
      </c>
      <c r="R36" s="136" t="s">
        <v>26</v>
      </c>
    </row>
    <row r="37" spans="1:18" s="6" customFormat="1" x14ac:dyDescent="0.3">
      <c r="A37" s="80">
        <v>25</v>
      </c>
      <c r="B37" s="21">
        <v>6149</v>
      </c>
      <c r="C37" s="56" t="s">
        <v>110</v>
      </c>
      <c r="D37" s="95">
        <v>320000000</v>
      </c>
      <c r="E37" s="81" t="s">
        <v>4</v>
      </c>
      <c r="F37" s="81" t="s">
        <v>5</v>
      </c>
      <c r="G37" s="104" t="s">
        <v>119</v>
      </c>
      <c r="H37" s="136">
        <v>45491</v>
      </c>
      <c r="I37" s="136">
        <f>H37+7</f>
        <v>45498</v>
      </c>
      <c r="J37" s="136">
        <f>I37</f>
        <v>45498</v>
      </c>
      <c r="K37" s="139" t="s">
        <v>26</v>
      </c>
      <c r="L37" s="136" t="s">
        <v>26</v>
      </c>
      <c r="M37" s="136">
        <f>+J37+3</f>
        <v>45501</v>
      </c>
      <c r="N37" s="136">
        <f>+M37+7</f>
        <v>45508</v>
      </c>
      <c r="O37" s="136">
        <f>N37+1</f>
        <v>45509</v>
      </c>
      <c r="P37" s="136">
        <f>N37+2</f>
        <v>45510</v>
      </c>
      <c r="Q37" s="136">
        <f>P37+1</f>
        <v>45511</v>
      </c>
      <c r="R37" s="136">
        <f>Q37+30</f>
        <v>45541</v>
      </c>
    </row>
    <row r="38" spans="1:18" s="6" customFormat="1" x14ac:dyDescent="0.3">
      <c r="A38" s="80">
        <v>26</v>
      </c>
      <c r="B38" s="98">
        <v>6151</v>
      </c>
      <c r="C38" s="99" t="s">
        <v>111</v>
      </c>
      <c r="D38" s="100">
        <v>10000000</v>
      </c>
      <c r="E38" s="81" t="s">
        <v>4</v>
      </c>
      <c r="F38" s="81" t="s">
        <v>5</v>
      </c>
      <c r="G38" s="105"/>
      <c r="H38" s="136">
        <v>45293</v>
      </c>
      <c r="I38" s="136">
        <f>H38+7</f>
        <v>45300</v>
      </c>
      <c r="J38" s="136">
        <f>I38</f>
        <v>45300</v>
      </c>
      <c r="K38" s="139" t="s">
        <v>26</v>
      </c>
      <c r="L38" s="136" t="s">
        <v>26</v>
      </c>
      <c r="M38" s="136">
        <v>45389</v>
      </c>
      <c r="N38" s="136">
        <f>M38+7</f>
        <v>45396</v>
      </c>
      <c r="O38" s="136">
        <f>N38+1</f>
        <v>45397</v>
      </c>
      <c r="P38" s="136">
        <f>O38+2</f>
        <v>45399</v>
      </c>
      <c r="Q38" s="136">
        <v>45292</v>
      </c>
      <c r="R38" s="136">
        <v>45657</v>
      </c>
    </row>
    <row r="39" spans="1:18" s="6" customFormat="1" ht="21.6" x14ac:dyDescent="0.3">
      <c r="A39" s="80">
        <v>27</v>
      </c>
      <c r="B39" s="21">
        <v>6152</v>
      </c>
      <c r="C39" s="56" t="s">
        <v>112</v>
      </c>
      <c r="D39" s="95">
        <v>30000000</v>
      </c>
      <c r="E39" s="81" t="s">
        <v>4</v>
      </c>
      <c r="F39" s="81" t="s">
        <v>5</v>
      </c>
      <c r="G39" s="104"/>
      <c r="H39" s="136">
        <v>45503</v>
      </c>
      <c r="I39" s="136">
        <f>H39+7</f>
        <v>45510</v>
      </c>
      <c r="J39" s="136">
        <f>I39</f>
        <v>45510</v>
      </c>
      <c r="K39" s="139" t="s">
        <v>26</v>
      </c>
      <c r="L39" s="136" t="s">
        <v>26</v>
      </c>
      <c r="M39" s="136">
        <f>+J39+3</f>
        <v>45513</v>
      </c>
      <c r="N39" s="136">
        <f>+M39+7</f>
        <v>45520</v>
      </c>
      <c r="O39" s="136">
        <f>+N39+1</f>
        <v>45521</v>
      </c>
      <c r="P39" s="136">
        <f>+N39+2</f>
        <v>45522</v>
      </c>
      <c r="Q39" s="136">
        <f>+P39+1</f>
        <v>45523</v>
      </c>
      <c r="R39" s="136">
        <f>+P39+3</f>
        <v>45525</v>
      </c>
    </row>
    <row r="40" spans="1:18" s="6" customFormat="1" ht="21.6" x14ac:dyDescent="0.3">
      <c r="A40" s="80">
        <v>28</v>
      </c>
      <c r="B40" s="98">
        <v>6181</v>
      </c>
      <c r="C40" s="99" t="s">
        <v>113</v>
      </c>
      <c r="D40" s="100">
        <v>25000000</v>
      </c>
      <c r="E40" s="81" t="s">
        <v>4</v>
      </c>
      <c r="F40" s="81" t="s">
        <v>5</v>
      </c>
      <c r="G40" s="105"/>
      <c r="H40" s="136">
        <v>45293</v>
      </c>
      <c r="I40" s="136">
        <f>H40+7</f>
        <v>45300</v>
      </c>
      <c r="J40" s="136">
        <f>I40</f>
        <v>45300</v>
      </c>
      <c r="K40" s="139" t="s">
        <v>26</v>
      </c>
      <c r="L40" s="136" t="s">
        <v>26</v>
      </c>
      <c r="M40" s="136">
        <f>+J40+3</f>
        <v>45303</v>
      </c>
      <c r="N40" s="136">
        <f>+M40+7</f>
        <v>45310</v>
      </c>
      <c r="O40" s="136">
        <f>+N40+1</f>
        <v>45311</v>
      </c>
      <c r="P40" s="136">
        <f>+N40+2</f>
        <v>45312</v>
      </c>
      <c r="Q40" s="136">
        <f>+P40+1</f>
        <v>45313</v>
      </c>
      <c r="R40" s="136">
        <f>+Q40</f>
        <v>45313</v>
      </c>
    </row>
    <row r="41" spans="1:18" s="6" customFormat="1" x14ac:dyDescent="0.3">
      <c r="A41" s="80">
        <v>29</v>
      </c>
      <c r="B41" s="98">
        <v>6183</v>
      </c>
      <c r="C41" s="99" t="s">
        <v>114</v>
      </c>
      <c r="D41" s="100">
        <v>15000000</v>
      </c>
      <c r="E41" s="81" t="s">
        <v>4</v>
      </c>
      <c r="F41" s="81" t="s">
        <v>5</v>
      </c>
      <c r="G41" s="105"/>
      <c r="H41" s="136" t="s">
        <v>26</v>
      </c>
      <c r="I41" s="136" t="s">
        <v>26</v>
      </c>
      <c r="J41" s="136" t="s">
        <v>26</v>
      </c>
      <c r="K41" s="136" t="s">
        <v>26</v>
      </c>
      <c r="L41" s="136" t="s">
        <v>26</v>
      </c>
      <c r="M41" s="136" t="s">
        <v>26</v>
      </c>
      <c r="N41" s="136" t="s">
        <v>26</v>
      </c>
      <c r="O41" s="136" t="s">
        <v>26</v>
      </c>
      <c r="P41" s="136" t="s">
        <v>26</v>
      </c>
      <c r="Q41" s="136" t="s">
        <v>26</v>
      </c>
      <c r="R41" s="136" t="s">
        <v>26</v>
      </c>
    </row>
    <row r="42" spans="1:18" s="6" customFormat="1" x14ac:dyDescent="0.3">
      <c r="A42" s="80"/>
      <c r="B42" s="21">
        <v>6225</v>
      </c>
      <c r="C42" s="56" t="s">
        <v>115</v>
      </c>
      <c r="D42" s="95">
        <v>66000000</v>
      </c>
      <c r="E42" s="81" t="s">
        <v>4</v>
      </c>
      <c r="F42" s="81" t="s">
        <v>5</v>
      </c>
      <c r="G42" s="107"/>
      <c r="H42" s="136">
        <v>45485</v>
      </c>
      <c r="I42" s="136">
        <v>45488</v>
      </c>
      <c r="J42" s="136">
        <v>45488</v>
      </c>
      <c r="K42" s="136" t="s">
        <v>26</v>
      </c>
      <c r="L42" s="136" t="s">
        <v>26</v>
      </c>
      <c r="M42" s="136"/>
      <c r="N42" s="136"/>
      <c r="O42" s="136"/>
      <c r="P42" s="136"/>
      <c r="Q42" s="136"/>
      <c r="R42" s="136"/>
    </row>
    <row r="43" spans="1:18" s="6" customFormat="1" x14ac:dyDescent="0.3">
      <c r="A43" s="80">
        <v>30</v>
      </c>
      <c r="B43" s="98">
        <v>6229</v>
      </c>
      <c r="C43" s="99" t="s">
        <v>116</v>
      </c>
      <c r="D43" s="100">
        <v>75000000</v>
      </c>
      <c r="E43" s="81" t="s">
        <v>4</v>
      </c>
      <c r="F43" s="81" t="s">
        <v>5</v>
      </c>
      <c r="G43" s="105" t="s">
        <v>119</v>
      </c>
      <c r="H43" s="136" t="s">
        <v>26</v>
      </c>
      <c r="I43" s="136" t="s">
        <v>26</v>
      </c>
      <c r="J43" s="136" t="s">
        <v>26</v>
      </c>
      <c r="K43" s="136" t="s">
        <v>26</v>
      </c>
      <c r="L43" s="136" t="s">
        <v>26</v>
      </c>
      <c r="M43" s="136" t="s">
        <v>26</v>
      </c>
      <c r="N43" s="136" t="s">
        <v>26</v>
      </c>
      <c r="O43" s="136" t="s">
        <v>26</v>
      </c>
      <c r="P43" s="136" t="s">
        <v>26</v>
      </c>
      <c r="Q43" s="136" t="s">
        <v>26</v>
      </c>
      <c r="R43" s="136" t="s">
        <v>26</v>
      </c>
    </row>
    <row r="44" spans="1:18" s="60" customFormat="1" x14ac:dyDescent="0.3">
      <c r="A44" s="80">
        <v>46</v>
      </c>
      <c r="B44" s="84"/>
      <c r="C44" s="82" t="s">
        <v>58</v>
      </c>
      <c r="D44" s="83">
        <f>SUM(D11:D43)</f>
        <v>2186000000</v>
      </c>
      <c r="E44" s="84"/>
      <c r="F44" s="84"/>
      <c r="G44" s="85"/>
      <c r="H44" s="140"/>
      <c r="I44" s="140"/>
      <c r="J44" s="141"/>
      <c r="K44" s="142"/>
      <c r="L44" s="141"/>
      <c r="M44" s="141"/>
      <c r="N44" s="141"/>
      <c r="O44" s="140"/>
      <c r="P44" s="140"/>
      <c r="Q44" s="140"/>
      <c r="R44" s="140"/>
    </row>
  </sheetData>
  <mergeCells count="3">
    <mergeCell ref="O9:P9"/>
    <mergeCell ref="Q9:R9"/>
    <mergeCell ref="C6:C7"/>
  </mergeCells>
  <pageMargins left="0.7" right="0.7" top="0.53" bottom="0.75" header="0.3" footer="0.3"/>
  <pageSetup paperSize="8" scale="56" fitToHeight="0" orientation="landscape" r:id="rId1"/>
  <headerFooter>
    <oddFooter>&amp;C&amp;P/&amp;N&amp;R&amp;D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2B5D0-444A-473B-8B4C-5ACBE5363651}">
  <sheetPr>
    <pageSetUpPr fitToPage="1"/>
  </sheetPr>
  <dimension ref="A6:S49"/>
  <sheetViews>
    <sheetView tabSelected="1" showWhiteSpace="0" topLeftCell="A6" zoomScale="120" zoomScaleNormal="120" workbookViewId="0">
      <selection activeCell="I13" sqref="I13"/>
    </sheetView>
  </sheetViews>
  <sheetFormatPr baseColWidth="10" defaultRowHeight="15.6" x14ac:dyDescent="0.3"/>
  <cols>
    <col min="1" max="1" width="4.3984375" customWidth="1"/>
    <col min="2" max="2" width="19.59765625" hidden="1" customWidth="1"/>
    <col min="3" max="3" width="33" customWidth="1"/>
    <col min="4" max="4" width="9.69921875" customWidth="1"/>
    <col min="5" max="5" width="9.09765625" customWidth="1"/>
    <col min="6" max="6" width="13.69921875" style="1" bestFit="1" customWidth="1"/>
    <col min="7" max="7" width="13.59765625" bestFit="1" customWidth="1"/>
    <col min="8" max="8" width="12.3984375" customWidth="1"/>
    <col min="9" max="9" width="11.59765625" bestFit="1" customWidth="1"/>
    <col min="10" max="10" width="14.5" bestFit="1" customWidth="1"/>
    <col min="11" max="11" width="9.69921875" customWidth="1"/>
    <col min="12" max="12" width="12.19921875" customWidth="1"/>
    <col min="13" max="13" width="10.5" customWidth="1"/>
    <col min="14" max="14" width="11" customWidth="1"/>
    <col min="15" max="15" width="11.5" customWidth="1"/>
    <col min="16" max="16" width="12.69921875" customWidth="1"/>
    <col min="17" max="17" width="10.3984375" customWidth="1"/>
    <col min="18" max="18" width="8.09765625" bestFit="1" customWidth="1"/>
    <col min="19" max="19" width="11" style="57"/>
  </cols>
  <sheetData>
    <row r="6" spans="1:19" ht="25.5" customHeight="1" x14ac:dyDescent="0.3">
      <c r="C6" s="224" t="s">
        <v>78</v>
      </c>
    </row>
    <row r="7" spans="1:19" ht="22.5" customHeight="1" x14ac:dyDescent="0.3">
      <c r="A7" s="55"/>
      <c r="B7" s="55"/>
      <c r="C7" s="224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</row>
    <row r="8" spans="1:19" s="89" customFormat="1" ht="22.5" customHeight="1" x14ac:dyDescent="0.3">
      <c r="A8" s="231" t="s">
        <v>81</v>
      </c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3"/>
      <c r="S8" s="87"/>
    </row>
    <row r="10" spans="1:19" s="18" customFormat="1" ht="20.399999999999999" x14ac:dyDescent="0.3">
      <c r="A10" s="210" t="s">
        <v>18</v>
      </c>
      <c r="B10" s="19" t="s">
        <v>3</v>
      </c>
      <c r="C10" s="210" t="s">
        <v>2</v>
      </c>
      <c r="D10" s="210" t="s">
        <v>1</v>
      </c>
      <c r="E10" s="210" t="s">
        <v>11</v>
      </c>
      <c r="F10" s="210" t="s">
        <v>27</v>
      </c>
      <c r="G10" s="20" t="s">
        <v>28</v>
      </c>
      <c r="H10" s="20" t="s">
        <v>29</v>
      </c>
      <c r="I10" s="20" t="s">
        <v>70</v>
      </c>
      <c r="J10" s="20" t="s">
        <v>57</v>
      </c>
      <c r="K10" s="217" t="s">
        <v>71</v>
      </c>
      <c r="L10" s="218"/>
      <c r="M10" s="219"/>
      <c r="N10" s="217" t="s">
        <v>48</v>
      </c>
      <c r="O10" s="218"/>
      <c r="P10" s="219"/>
      <c r="Q10" s="210" t="s">
        <v>73</v>
      </c>
      <c r="R10" s="210" t="s">
        <v>72</v>
      </c>
      <c r="S10" s="210" t="s">
        <v>45</v>
      </c>
    </row>
    <row r="11" spans="1:19" s="18" customFormat="1" ht="20.399999999999999" x14ac:dyDescent="0.3">
      <c r="A11" s="211"/>
      <c r="B11" s="19"/>
      <c r="C11" s="211"/>
      <c r="D11" s="211"/>
      <c r="E11" s="211"/>
      <c r="F11" s="211"/>
      <c r="G11" s="50" t="s">
        <v>64</v>
      </c>
      <c r="H11" s="50" t="s">
        <v>64</v>
      </c>
      <c r="I11" s="50" t="s">
        <v>64</v>
      </c>
      <c r="J11" s="50" t="s">
        <v>64</v>
      </c>
      <c r="K11" s="19" t="s">
        <v>76</v>
      </c>
      <c r="L11" s="19" t="s">
        <v>47</v>
      </c>
      <c r="M11" s="19" t="s">
        <v>51</v>
      </c>
      <c r="N11" s="19" t="s">
        <v>46</v>
      </c>
      <c r="O11" s="19" t="s">
        <v>75</v>
      </c>
      <c r="P11" s="19" t="s">
        <v>74</v>
      </c>
      <c r="Q11" s="211"/>
      <c r="R11" s="211"/>
      <c r="S11" s="211"/>
    </row>
    <row r="12" spans="1:19" s="168" customFormat="1" ht="41.25" customHeight="1" x14ac:dyDescent="0.3">
      <c r="A12" s="169">
        <v>1</v>
      </c>
      <c r="B12" s="169" t="s">
        <v>8</v>
      </c>
      <c r="C12" s="161" t="s">
        <v>165</v>
      </c>
      <c r="D12" s="161" t="s">
        <v>134</v>
      </c>
      <c r="E12" s="162">
        <v>2119</v>
      </c>
      <c r="F12" s="163" t="s">
        <v>180</v>
      </c>
      <c r="G12" s="170"/>
      <c r="H12" s="171">
        <v>4599927329</v>
      </c>
      <c r="I12" s="165">
        <v>1507500000</v>
      </c>
      <c r="J12" s="170">
        <f>H12+I12</f>
        <v>6107427329</v>
      </c>
      <c r="K12" s="167">
        <v>44960</v>
      </c>
      <c r="L12" s="161" t="s">
        <v>23</v>
      </c>
      <c r="M12" s="167">
        <v>45068</v>
      </c>
      <c r="N12" s="172"/>
      <c r="O12" s="169" t="s">
        <v>15</v>
      </c>
      <c r="P12" s="172"/>
      <c r="Q12" s="167">
        <v>43497</v>
      </c>
      <c r="R12" s="167">
        <v>45046</v>
      </c>
      <c r="S12" s="173"/>
    </row>
    <row r="13" spans="1:19" s="168" customFormat="1" ht="32.4" x14ac:dyDescent="0.3">
      <c r="A13" s="169">
        <v>2</v>
      </c>
      <c r="B13" s="169" t="s">
        <v>8</v>
      </c>
      <c r="C13" s="161" t="s">
        <v>166</v>
      </c>
      <c r="D13" s="161" t="s">
        <v>134</v>
      </c>
      <c r="E13" s="162">
        <v>2119</v>
      </c>
      <c r="F13" s="163" t="s">
        <v>181</v>
      </c>
      <c r="G13" s="170"/>
      <c r="H13" s="164">
        <v>12589783000</v>
      </c>
      <c r="I13" s="165">
        <v>950000000</v>
      </c>
      <c r="J13" s="170">
        <f t="shared" ref="J13:J15" si="0">H13+I13</f>
        <v>13539783000</v>
      </c>
      <c r="K13" s="167">
        <v>45128</v>
      </c>
      <c r="L13" s="161" t="s">
        <v>23</v>
      </c>
      <c r="M13" s="167">
        <v>45154</v>
      </c>
      <c r="N13" s="172"/>
      <c r="O13" s="172">
        <v>44699</v>
      </c>
      <c r="P13" s="172"/>
      <c r="Q13" s="167">
        <v>44791</v>
      </c>
      <c r="R13" s="167">
        <v>45107</v>
      </c>
      <c r="S13" s="173"/>
    </row>
    <row r="14" spans="1:19" s="168" customFormat="1" ht="43.2" x14ac:dyDescent="0.3">
      <c r="A14" s="169">
        <v>3</v>
      </c>
      <c r="B14" s="169" t="s">
        <v>8</v>
      </c>
      <c r="C14" s="161" t="s">
        <v>167</v>
      </c>
      <c r="D14" s="161" t="s">
        <v>134</v>
      </c>
      <c r="E14" s="162">
        <v>2119</v>
      </c>
      <c r="F14" s="163" t="s">
        <v>182</v>
      </c>
      <c r="G14" s="170"/>
      <c r="H14" s="171">
        <v>1200612281</v>
      </c>
      <c r="I14" s="165">
        <v>280467649</v>
      </c>
      <c r="J14" s="170">
        <f t="shared" si="0"/>
        <v>1481079930</v>
      </c>
      <c r="K14" s="167">
        <v>44923</v>
      </c>
      <c r="L14" s="161" t="s">
        <v>23</v>
      </c>
      <c r="M14" s="167">
        <v>45006</v>
      </c>
      <c r="N14" s="172">
        <v>44384</v>
      </c>
      <c r="O14" s="169" t="s">
        <v>15</v>
      </c>
      <c r="P14" s="172">
        <v>44433</v>
      </c>
      <c r="Q14" s="167">
        <v>44566</v>
      </c>
      <c r="R14" s="167">
        <v>45046</v>
      </c>
      <c r="S14" s="173"/>
    </row>
    <row r="15" spans="1:19" ht="21.6" x14ac:dyDescent="0.3">
      <c r="A15" s="21">
        <v>5</v>
      </c>
      <c r="B15" s="21" t="s">
        <v>9</v>
      </c>
      <c r="C15" s="26" t="s">
        <v>210</v>
      </c>
      <c r="D15" s="26" t="s">
        <v>134</v>
      </c>
      <c r="E15" s="122">
        <v>2119</v>
      </c>
      <c r="F15" s="126"/>
      <c r="G15" s="22"/>
      <c r="H15" s="130" t="s">
        <v>23</v>
      </c>
      <c r="I15" s="110">
        <v>1200000000</v>
      </c>
      <c r="J15" s="22" t="e">
        <f t="shared" si="0"/>
        <v>#VALUE!</v>
      </c>
      <c r="K15" s="26"/>
      <c r="L15" s="26" t="s">
        <v>23</v>
      </c>
      <c r="M15" s="26"/>
      <c r="N15" s="47" t="s">
        <v>15</v>
      </c>
      <c r="O15" s="29" t="s">
        <v>15</v>
      </c>
      <c r="P15" s="47" t="s">
        <v>15</v>
      </c>
      <c r="Q15" s="26"/>
      <c r="R15" s="40"/>
      <c r="S15" s="56"/>
    </row>
    <row r="16" spans="1:19" s="168" customFormat="1" ht="32.4" x14ac:dyDescent="0.3">
      <c r="A16" s="169">
        <v>6</v>
      </c>
      <c r="B16" s="169" t="s">
        <v>8</v>
      </c>
      <c r="C16" s="161" t="s">
        <v>168</v>
      </c>
      <c r="D16" s="161" t="s">
        <v>0</v>
      </c>
      <c r="E16" s="162">
        <v>2119</v>
      </c>
      <c r="F16" s="163" t="s">
        <v>183</v>
      </c>
      <c r="G16" s="170"/>
      <c r="H16" s="164">
        <v>2596281572</v>
      </c>
      <c r="I16" s="165">
        <v>550000000</v>
      </c>
      <c r="J16" s="170">
        <f>H16+I16</f>
        <v>3146281572</v>
      </c>
      <c r="K16" s="167" t="s">
        <v>193</v>
      </c>
      <c r="L16" s="161" t="s">
        <v>23</v>
      </c>
      <c r="M16" s="161" t="s">
        <v>139</v>
      </c>
      <c r="N16" s="172"/>
      <c r="O16" s="169"/>
      <c r="P16" s="172"/>
      <c r="Q16" s="161"/>
      <c r="R16" s="167"/>
      <c r="S16" s="173"/>
    </row>
    <row r="17" spans="1:19" s="168" customFormat="1" ht="21.6" x14ac:dyDescent="0.3">
      <c r="A17" s="169">
        <v>7</v>
      </c>
      <c r="B17" s="169" t="s">
        <v>8</v>
      </c>
      <c r="C17" s="161" t="s">
        <v>169</v>
      </c>
      <c r="D17" s="161" t="s">
        <v>134</v>
      </c>
      <c r="E17" s="162">
        <v>2119</v>
      </c>
      <c r="F17" s="163" t="s">
        <v>184</v>
      </c>
      <c r="G17" s="170"/>
      <c r="H17" s="164">
        <v>2821428487</v>
      </c>
      <c r="I17" s="165">
        <v>-677866</v>
      </c>
      <c r="J17" s="170"/>
      <c r="K17" s="167">
        <v>45012</v>
      </c>
      <c r="L17" s="161" t="s">
        <v>23</v>
      </c>
      <c r="M17" s="161" t="s">
        <v>139</v>
      </c>
      <c r="N17" s="172"/>
      <c r="O17" s="169" t="s">
        <v>15</v>
      </c>
      <c r="P17" s="172"/>
      <c r="Q17" s="161"/>
      <c r="R17" s="167"/>
      <c r="S17" s="173"/>
    </row>
    <row r="18" spans="1:19" s="168" customFormat="1" ht="21.6" x14ac:dyDescent="0.3">
      <c r="A18" s="169">
        <v>8</v>
      </c>
      <c r="B18" s="169" t="s">
        <v>8</v>
      </c>
      <c r="C18" s="161" t="s">
        <v>170</v>
      </c>
      <c r="D18" s="161" t="s">
        <v>134</v>
      </c>
      <c r="E18" s="162">
        <v>2119</v>
      </c>
      <c r="F18" s="163" t="s">
        <v>185</v>
      </c>
      <c r="G18" s="170"/>
      <c r="H18" s="164" t="s">
        <v>23</v>
      </c>
      <c r="I18" s="165">
        <v>150000000</v>
      </c>
      <c r="J18" s="170">
        <v>454678200</v>
      </c>
      <c r="K18" s="167" t="s">
        <v>139</v>
      </c>
      <c r="L18" s="161" t="s">
        <v>23</v>
      </c>
      <c r="M18" s="161" t="s">
        <v>139</v>
      </c>
      <c r="N18" s="172"/>
      <c r="O18" s="169" t="s">
        <v>15</v>
      </c>
      <c r="P18" s="172"/>
      <c r="Q18" s="161"/>
      <c r="R18" s="167"/>
      <c r="S18" s="173"/>
    </row>
    <row r="19" spans="1:19" ht="32.4" x14ac:dyDescent="0.3">
      <c r="A19" s="21">
        <v>9</v>
      </c>
      <c r="B19" s="21" t="s">
        <v>10</v>
      </c>
      <c r="C19" s="26" t="s">
        <v>171</v>
      </c>
      <c r="D19" s="26" t="s">
        <v>134</v>
      </c>
      <c r="E19" s="122">
        <v>6222</v>
      </c>
      <c r="F19" s="126" t="s">
        <v>186</v>
      </c>
      <c r="G19" s="22"/>
      <c r="H19" s="130" t="s">
        <v>23</v>
      </c>
      <c r="I19" s="110">
        <v>16000000</v>
      </c>
      <c r="J19" s="22" t="e">
        <f>H19+I19</f>
        <v>#VALUE!</v>
      </c>
      <c r="K19" s="26" t="s">
        <v>23</v>
      </c>
      <c r="L19" s="26" t="s">
        <v>23</v>
      </c>
      <c r="M19" s="26" t="s">
        <v>139</v>
      </c>
      <c r="N19" s="47"/>
      <c r="O19" s="29" t="s">
        <v>15</v>
      </c>
      <c r="P19" s="47"/>
      <c r="Q19" s="40">
        <v>45139</v>
      </c>
      <c r="R19" s="40">
        <v>45382</v>
      </c>
      <c r="S19" s="56"/>
    </row>
    <row r="20" spans="1:19" ht="64.8" x14ac:dyDescent="0.3">
      <c r="A20" s="21">
        <v>10</v>
      </c>
      <c r="B20" s="21" t="s">
        <v>10</v>
      </c>
      <c r="C20" s="26" t="s">
        <v>172</v>
      </c>
      <c r="D20" s="26" t="s">
        <v>134</v>
      </c>
      <c r="E20" s="122">
        <v>6222</v>
      </c>
      <c r="F20" s="126" t="s">
        <v>187</v>
      </c>
      <c r="G20" s="22"/>
      <c r="H20" s="130" t="s">
        <v>23</v>
      </c>
      <c r="I20" s="110">
        <v>15000000</v>
      </c>
      <c r="J20" s="22" t="e">
        <f>H20+I20</f>
        <v>#VALUE!</v>
      </c>
      <c r="K20" s="40" t="s">
        <v>23</v>
      </c>
      <c r="L20" s="26" t="s">
        <v>23</v>
      </c>
      <c r="M20" s="26" t="s">
        <v>195</v>
      </c>
      <c r="N20" s="47" t="s">
        <v>15</v>
      </c>
      <c r="O20" s="29" t="s">
        <v>15</v>
      </c>
      <c r="P20" s="47" t="s">
        <v>15</v>
      </c>
      <c r="Q20" s="40">
        <v>45139</v>
      </c>
      <c r="R20" s="40">
        <v>45260</v>
      </c>
      <c r="S20" s="56"/>
    </row>
    <row r="21" spans="1:19" ht="59.25" customHeight="1" x14ac:dyDescent="0.3">
      <c r="A21" s="34">
        <v>11</v>
      </c>
      <c r="B21" s="34"/>
      <c r="C21" s="26" t="s">
        <v>173</v>
      </c>
      <c r="D21" s="26" t="s">
        <v>134</v>
      </c>
      <c r="E21" s="122">
        <v>6222</v>
      </c>
      <c r="F21" s="126" t="s">
        <v>188</v>
      </c>
      <c r="G21" s="63"/>
      <c r="H21" s="130" t="s">
        <v>23</v>
      </c>
      <c r="I21" s="110">
        <v>15000000</v>
      </c>
      <c r="J21" s="63"/>
      <c r="K21" s="40" t="s">
        <v>23</v>
      </c>
      <c r="L21" s="26" t="s">
        <v>23</v>
      </c>
      <c r="M21" s="40">
        <v>45001</v>
      </c>
      <c r="N21" s="113"/>
      <c r="O21" s="133"/>
      <c r="P21" s="113"/>
      <c r="Q21" s="40">
        <v>44927</v>
      </c>
      <c r="R21" s="40">
        <v>45107</v>
      </c>
      <c r="S21" s="64"/>
    </row>
    <row r="22" spans="1:19" ht="46.5" customHeight="1" x14ac:dyDescent="0.3">
      <c r="A22" s="34">
        <v>12</v>
      </c>
      <c r="B22" s="34"/>
      <c r="C22" s="26" t="s">
        <v>174</v>
      </c>
      <c r="D22" s="26" t="s">
        <v>134</v>
      </c>
      <c r="E22" s="122">
        <v>6222</v>
      </c>
      <c r="F22" s="126" t="s">
        <v>189</v>
      </c>
      <c r="G22" s="63"/>
      <c r="H22" s="130" t="s">
        <v>23</v>
      </c>
      <c r="I22" s="110">
        <v>12000000</v>
      </c>
      <c r="J22" s="63"/>
      <c r="K22" s="40" t="s">
        <v>23</v>
      </c>
      <c r="L22" s="26" t="s">
        <v>23</v>
      </c>
      <c r="M22" s="40">
        <v>45001</v>
      </c>
      <c r="N22" s="113"/>
      <c r="O22" s="133"/>
      <c r="P22" s="113"/>
      <c r="Q22" s="40">
        <v>44927</v>
      </c>
      <c r="R22" s="40">
        <v>45107</v>
      </c>
      <c r="S22" s="64"/>
    </row>
    <row r="23" spans="1:19" ht="32.4" x14ac:dyDescent="0.3">
      <c r="A23" s="34">
        <v>13</v>
      </c>
      <c r="B23" s="34"/>
      <c r="C23" s="26" t="s">
        <v>175</v>
      </c>
      <c r="D23" s="26" t="s">
        <v>134</v>
      </c>
      <c r="E23" s="122">
        <v>6222</v>
      </c>
      <c r="F23" s="126" t="s">
        <v>189</v>
      </c>
      <c r="G23" s="63"/>
      <c r="H23" s="130">
        <v>12000000</v>
      </c>
      <c r="I23" s="110">
        <v>12000000</v>
      </c>
      <c r="J23" s="63"/>
      <c r="K23" s="40"/>
      <c r="L23" s="26"/>
      <c r="M23" s="40">
        <v>45111</v>
      </c>
      <c r="N23" s="113"/>
      <c r="O23" s="133"/>
      <c r="P23" s="113"/>
      <c r="Q23" s="40">
        <v>45108</v>
      </c>
      <c r="R23" s="40">
        <v>45291</v>
      </c>
      <c r="S23" s="64"/>
    </row>
    <row r="24" spans="1:19" ht="54" x14ac:dyDescent="0.3">
      <c r="A24" s="34">
        <v>14</v>
      </c>
      <c r="B24" s="34"/>
      <c r="C24" s="26" t="s">
        <v>176</v>
      </c>
      <c r="D24" s="26" t="s">
        <v>134</v>
      </c>
      <c r="E24" s="122">
        <v>6222</v>
      </c>
      <c r="F24" s="126" t="s">
        <v>190</v>
      </c>
      <c r="G24" s="63"/>
      <c r="H24" s="130" t="s">
        <v>23</v>
      </c>
      <c r="I24" s="110">
        <v>15000000</v>
      </c>
      <c r="J24" s="63"/>
      <c r="K24" s="40" t="s">
        <v>23</v>
      </c>
      <c r="L24" s="26" t="s">
        <v>23</v>
      </c>
      <c r="M24" s="40">
        <v>45001</v>
      </c>
      <c r="N24" s="113"/>
      <c r="O24" s="133"/>
      <c r="P24" s="113"/>
      <c r="Q24" s="40">
        <v>44927</v>
      </c>
      <c r="R24" s="40">
        <v>45107</v>
      </c>
      <c r="S24" s="64"/>
    </row>
    <row r="25" spans="1:19" ht="21.6" x14ac:dyDescent="0.3">
      <c r="A25" s="34">
        <v>15</v>
      </c>
      <c r="B25" s="34"/>
      <c r="C25" s="26" t="s">
        <v>177</v>
      </c>
      <c r="D25" s="26" t="s">
        <v>134</v>
      </c>
      <c r="E25" s="122">
        <v>6222</v>
      </c>
      <c r="F25" s="126" t="s">
        <v>191</v>
      </c>
      <c r="G25" s="63"/>
      <c r="H25" s="130" t="s">
        <v>23</v>
      </c>
      <c r="I25" s="110">
        <v>9000000</v>
      </c>
      <c r="J25" s="63"/>
      <c r="K25" s="40" t="s">
        <v>23</v>
      </c>
      <c r="L25" s="26" t="s">
        <v>23</v>
      </c>
      <c r="M25" s="40">
        <v>45001</v>
      </c>
      <c r="N25" s="113"/>
      <c r="O25" s="133"/>
      <c r="P25" s="113"/>
      <c r="Q25" s="40">
        <v>44927</v>
      </c>
      <c r="R25" s="40">
        <v>45107</v>
      </c>
      <c r="S25" s="64"/>
    </row>
    <row r="26" spans="1:19" ht="32.4" x14ac:dyDescent="0.3">
      <c r="A26" s="34">
        <v>16</v>
      </c>
      <c r="B26" s="34"/>
      <c r="C26" s="26" t="s">
        <v>178</v>
      </c>
      <c r="D26" s="26" t="s">
        <v>134</v>
      </c>
      <c r="E26" s="122">
        <v>6222</v>
      </c>
      <c r="F26" s="126" t="s">
        <v>191</v>
      </c>
      <c r="G26" s="63"/>
      <c r="H26" s="130">
        <v>9000000</v>
      </c>
      <c r="I26" s="110">
        <v>9000000</v>
      </c>
      <c r="J26" s="63"/>
      <c r="K26" s="40" t="s">
        <v>23</v>
      </c>
      <c r="L26" s="26" t="s">
        <v>23</v>
      </c>
      <c r="M26" s="40">
        <v>45117</v>
      </c>
      <c r="N26" s="113"/>
      <c r="O26" s="133"/>
      <c r="P26" s="113"/>
      <c r="Q26" s="40">
        <v>45108</v>
      </c>
      <c r="R26" s="40">
        <v>45291</v>
      </c>
      <c r="S26" s="64"/>
    </row>
    <row r="27" spans="1:19" ht="54" x14ac:dyDescent="0.3">
      <c r="A27" s="34">
        <v>17</v>
      </c>
      <c r="B27" s="34"/>
      <c r="C27" s="109" t="s">
        <v>212</v>
      </c>
      <c r="D27" s="109" t="s">
        <v>134</v>
      </c>
      <c r="E27" s="123">
        <v>2119</v>
      </c>
      <c r="F27" s="127" t="s">
        <v>42</v>
      </c>
      <c r="G27" s="63"/>
      <c r="H27" s="131"/>
      <c r="I27" s="111">
        <v>134130069</v>
      </c>
      <c r="J27" s="63"/>
      <c r="K27" s="115"/>
      <c r="L27" s="109"/>
      <c r="M27" s="115"/>
      <c r="N27" s="113"/>
      <c r="O27" s="133"/>
      <c r="P27" s="113"/>
      <c r="Q27" s="115"/>
      <c r="R27" s="115"/>
      <c r="S27" s="64"/>
    </row>
    <row r="28" spans="1:19" ht="43.8" thickBot="1" x14ac:dyDescent="0.35">
      <c r="A28" s="34">
        <v>18</v>
      </c>
      <c r="B28" s="34"/>
      <c r="C28" s="120" t="s">
        <v>179</v>
      </c>
      <c r="D28" s="120" t="s">
        <v>134</v>
      </c>
      <c r="E28" s="124">
        <v>2119</v>
      </c>
      <c r="F28" s="128" t="s">
        <v>192</v>
      </c>
      <c r="G28" s="63"/>
      <c r="H28" s="132" t="s">
        <v>23</v>
      </c>
      <c r="I28" s="125">
        <v>239785000</v>
      </c>
      <c r="J28" s="63"/>
      <c r="K28" s="134">
        <v>44960</v>
      </c>
      <c r="L28" s="120" t="s">
        <v>23</v>
      </c>
      <c r="M28" s="120" t="s">
        <v>139</v>
      </c>
      <c r="N28" s="113"/>
      <c r="O28" s="133"/>
      <c r="P28" s="113"/>
      <c r="Q28" s="134" t="s">
        <v>139</v>
      </c>
      <c r="R28" s="134" t="s">
        <v>139</v>
      </c>
      <c r="S28" s="64"/>
    </row>
    <row r="29" spans="1:19" s="168" customFormat="1" ht="32.4" x14ac:dyDescent="0.3">
      <c r="A29" s="152">
        <v>19</v>
      </c>
      <c r="B29" s="152"/>
      <c r="C29" s="161" t="s">
        <v>168</v>
      </c>
      <c r="D29" s="161" t="s">
        <v>0</v>
      </c>
      <c r="E29" s="162">
        <v>2119</v>
      </c>
      <c r="F29" s="163" t="s">
        <v>183</v>
      </c>
      <c r="G29" s="158"/>
      <c r="H29" s="164">
        <v>2596281572</v>
      </c>
      <c r="I29" s="165">
        <v>550000000</v>
      </c>
      <c r="J29" s="158"/>
      <c r="K29" s="161" t="s">
        <v>194</v>
      </c>
      <c r="L29" s="161" t="s">
        <v>194</v>
      </c>
      <c r="M29" s="161" t="s">
        <v>139</v>
      </c>
      <c r="N29" s="166"/>
      <c r="O29" s="152"/>
      <c r="P29" s="166"/>
      <c r="Q29" s="161"/>
      <c r="R29" s="167"/>
      <c r="S29" s="159"/>
    </row>
    <row r="30" spans="1:19" s="11" customFormat="1" ht="32.4" x14ac:dyDescent="0.25">
      <c r="A30" s="34">
        <v>20</v>
      </c>
      <c r="B30" s="34"/>
      <c r="C30" s="145" t="s">
        <v>196</v>
      </c>
      <c r="D30" s="121" t="s">
        <v>134</v>
      </c>
      <c r="E30" s="146">
        <v>2119</v>
      </c>
      <c r="F30" s="35" t="s">
        <v>184</v>
      </c>
      <c r="G30" s="147">
        <v>350000000</v>
      </c>
      <c r="H30" s="44" t="s">
        <v>208</v>
      </c>
      <c r="I30" s="44" t="s">
        <v>208</v>
      </c>
      <c r="J30" s="44" t="s">
        <v>208</v>
      </c>
      <c r="K30" s="44" t="s">
        <v>208</v>
      </c>
      <c r="L30" s="44" t="s">
        <v>208</v>
      </c>
      <c r="M30" s="44" t="s">
        <v>208</v>
      </c>
      <c r="N30" s="44" t="s">
        <v>208</v>
      </c>
      <c r="O30" s="44" t="s">
        <v>208</v>
      </c>
      <c r="P30" s="44" t="s">
        <v>208</v>
      </c>
      <c r="Q30" s="44" t="s">
        <v>208</v>
      </c>
      <c r="R30" s="44"/>
      <c r="S30" s="64"/>
    </row>
    <row r="31" spans="1:19" s="11" customFormat="1" ht="32.4" x14ac:dyDescent="0.25">
      <c r="A31" s="34">
        <v>21</v>
      </c>
      <c r="B31" s="34"/>
      <c r="C31" s="148" t="s">
        <v>197</v>
      </c>
      <c r="D31" s="121" t="s">
        <v>134</v>
      </c>
      <c r="E31" s="146">
        <v>2119</v>
      </c>
      <c r="F31" s="35" t="s">
        <v>180</v>
      </c>
      <c r="G31" s="149">
        <v>309861953</v>
      </c>
      <c r="H31" s="44" t="s">
        <v>208</v>
      </c>
      <c r="I31" s="44" t="s">
        <v>208</v>
      </c>
      <c r="J31" s="44" t="s">
        <v>208</v>
      </c>
      <c r="K31" s="44" t="s">
        <v>208</v>
      </c>
      <c r="L31" s="44" t="s">
        <v>208</v>
      </c>
      <c r="M31" s="44" t="s">
        <v>208</v>
      </c>
      <c r="N31" s="44" t="s">
        <v>208</v>
      </c>
      <c r="O31" s="44" t="s">
        <v>208</v>
      </c>
      <c r="P31" s="44" t="s">
        <v>208</v>
      </c>
      <c r="Q31" s="44" t="s">
        <v>208</v>
      </c>
      <c r="R31" s="44"/>
      <c r="S31" s="64"/>
    </row>
    <row r="32" spans="1:19" s="11" customFormat="1" ht="32.4" x14ac:dyDescent="0.25">
      <c r="A32" s="34">
        <v>22</v>
      </c>
      <c r="B32" s="34"/>
      <c r="C32" s="148" t="s">
        <v>198</v>
      </c>
      <c r="D32" s="135" t="s">
        <v>134</v>
      </c>
      <c r="E32" s="150">
        <v>2119</v>
      </c>
      <c r="F32" s="35" t="s">
        <v>208</v>
      </c>
      <c r="G32" s="149">
        <v>8000000</v>
      </c>
      <c r="H32" s="44" t="s">
        <v>208</v>
      </c>
      <c r="I32" s="44" t="s">
        <v>208</v>
      </c>
      <c r="J32" s="44" t="s">
        <v>208</v>
      </c>
      <c r="K32" s="44" t="s">
        <v>208</v>
      </c>
      <c r="L32" s="44" t="s">
        <v>208</v>
      </c>
      <c r="M32" s="44" t="s">
        <v>208</v>
      </c>
      <c r="N32" s="44" t="s">
        <v>208</v>
      </c>
      <c r="O32" s="44" t="s">
        <v>208</v>
      </c>
      <c r="P32" s="44" t="s">
        <v>208</v>
      </c>
      <c r="Q32" s="44" t="s">
        <v>208</v>
      </c>
      <c r="R32" s="44"/>
      <c r="S32" s="64"/>
    </row>
    <row r="33" spans="1:19" s="11" customFormat="1" ht="21.6" x14ac:dyDescent="0.25">
      <c r="A33" s="34">
        <v>23</v>
      </c>
      <c r="B33" s="34"/>
      <c r="C33" s="148" t="s">
        <v>199</v>
      </c>
      <c r="D33" s="135" t="s">
        <v>134</v>
      </c>
      <c r="E33" s="150">
        <v>2119</v>
      </c>
      <c r="F33" s="35" t="s">
        <v>208</v>
      </c>
      <c r="G33" s="149">
        <v>27000000</v>
      </c>
      <c r="H33" s="44" t="s">
        <v>208</v>
      </c>
      <c r="I33" s="44" t="s">
        <v>208</v>
      </c>
      <c r="J33" s="44" t="s">
        <v>208</v>
      </c>
      <c r="K33" s="44" t="s">
        <v>208</v>
      </c>
      <c r="L33" s="44" t="s">
        <v>208</v>
      </c>
      <c r="M33" s="44" t="s">
        <v>208</v>
      </c>
      <c r="N33" s="44" t="s">
        <v>208</v>
      </c>
      <c r="O33" s="44" t="s">
        <v>208</v>
      </c>
      <c r="P33" s="44" t="s">
        <v>208</v>
      </c>
      <c r="Q33" s="44" t="s">
        <v>208</v>
      </c>
      <c r="R33" s="44"/>
      <c r="S33" s="64"/>
    </row>
    <row r="34" spans="1:19" s="160" customFormat="1" ht="21.6" x14ac:dyDescent="0.25">
      <c r="A34" s="152">
        <v>24</v>
      </c>
      <c r="B34" s="152"/>
      <c r="C34" s="153" t="s">
        <v>200</v>
      </c>
      <c r="D34" s="154" t="s">
        <v>162</v>
      </c>
      <c r="E34" s="155">
        <v>2119</v>
      </c>
      <c r="F34" s="156" t="s">
        <v>211</v>
      </c>
      <c r="G34" s="157">
        <v>500000000</v>
      </c>
      <c r="H34" s="158" t="s">
        <v>208</v>
      </c>
      <c r="I34" s="158" t="s">
        <v>208</v>
      </c>
      <c r="J34" s="158" t="s">
        <v>208</v>
      </c>
      <c r="K34" s="158" t="s">
        <v>208</v>
      </c>
      <c r="L34" s="158" t="s">
        <v>208</v>
      </c>
      <c r="M34" s="158" t="s">
        <v>208</v>
      </c>
      <c r="N34" s="158" t="s">
        <v>208</v>
      </c>
      <c r="O34" s="158" t="s">
        <v>208</v>
      </c>
      <c r="P34" s="158" t="s">
        <v>208</v>
      </c>
      <c r="Q34" s="158" t="s">
        <v>208</v>
      </c>
      <c r="R34" s="158"/>
      <c r="S34" s="159"/>
    </row>
    <row r="35" spans="1:19" s="11" customFormat="1" ht="21.6" x14ac:dyDescent="0.25">
      <c r="A35" s="34">
        <v>25</v>
      </c>
      <c r="B35" s="34"/>
      <c r="C35" s="148" t="s">
        <v>201</v>
      </c>
      <c r="D35" s="135" t="s">
        <v>134</v>
      </c>
      <c r="E35" s="150">
        <v>2119</v>
      </c>
      <c r="F35" s="35" t="s">
        <v>208</v>
      </c>
      <c r="G35" s="149">
        <f>630000000-300000000</f>
        <v>330000000</v>
      </c>
      <c r="H35" s="44" t="s">
        <v>208</v>
      </c>
      <c r="I35" s="44" t="s">
        <v>208</v>
      </c>
      <c r="J35" s="44" t="s">
        <v>208</v>
      </c>
      <c r="K35" s="44" t="s">
        <v>208</v>
      </c>
      <c r="L35" s="44" t="s">
        <v>208</v>
      </c>
      <c r="M35" s="44" t="s">
        <v>208</v>
      </c>
      <c r="N35" s="44" t="s">
        <v>208</v>
      </c>
      <c r="O35" s="44" t="s">
        <v>208</v>
      </c>
      <c r="P35" s="44" t="s">
        <v>208</v>
      </c>
      <c r="Q35" s="44" t="s">
        <v>208</v>
      </c>
      <c r="R35" s="44"/>
      <c r="S35" s="64"/>
    </row>
    <row r="36" spans="1:19" s="11" customFormat="1" ht="21.6" x14ac:dyDescent="0.25">
      <c r="A36" s="34">
        <v>26</v>
      </c>
      <c r="B36" s="34"/>
      <c r="C36" s="148" t="s">
        <v>202</v>
      </c>
      <c r="D36" s="135" t="s">
        <v>134</v>
      </c>
      <c r="E36" s="150">
        <v>2119</v>
      </c>
      <c r="F36" s="35" t="s">
        <v>208</v>
      </c>
      <c r="G36" s="149">
        <v>70000000</v>
      </c>
      <c r="H36" s="44" t="s">
        <v>208</v>
      </c>
      <c r="I36" s="44" t="s">
        <v>208</v>
      </c>
      <c r="J36" s="44" t="s">
        <v>208</v>
      </c>
      <c r="K36" s="44" t="s">
        <v>208</v>
      </c>
      <c r="L36" s="44" t="s">
        <v>208</v>
      </c>
      <c r="M36" s="44" t="s">
        <v>208</v>
      </c>
      <c r="N36" s="44" t="s">
        <v>208</v>
      </c>
      <c r="O36" s="44" t="s">
        <v>208</v>
      </c>
      <c r="P36" s="44" t="s">
        <v>208</v>
      </c>
      <c r="Q36" s="44" t="s">
        <v>208</v>
      </c>
      <c r="R36" s="44"/>
      <c r="S36" s="64"/>
    </row>
    <row r="37" spans="1:19" s="11" customFormat="1" ht="43.2" x14ac:dyDescent="0.25">
      <c r="A37" s="34">
        <v>27</v>
      </c>
      <c r="B37" s="34"/>
      <c r="C37" s="148" t="s">
        <v>203</v>
      </c>
      <c r="D37" s="135" t="s">
        <v>134</v>
      </c>
      <c r="E37" s="150">
        <v>2119</v>
      </c>
      <c r="F37" s="35" t="s">
        <v>208</v>
      </c>
      <c r="G37" s="149">
        <f>512000000-200000000</f>
        <v>312000000</v>
      </c>
      <c r="H37" s="44" t="s">
        <v>208</v>
      </c>
      <c r="I37" s="44" t="s">
        <v>208</v>
      </c>
      <c r="J37" s="44" t="s">
        <v>208</v>
      </c>
      <c r="K37" s="44" t="s">
        <v>208</v>
      </c>
      <c r="L37" s="44" t="s">
        <v>208</v>
      </c>
      <c r="M37" s="44" t="s">
        <v>208</v>
      </c>
      <c r="N37" s="44" t="s">
        <v>208</v>
      </c>
      <c r="O37" s="44" t="s">
        <v>208</v>
      </c>
      <c r="P37" s="44" t="s">
        <v>208</v>
      </c>
      <c r="Q37" s="44" t="s">
        <v>208</v>
      </c>
      <c r="R37" s="44"/>
      <c r="S37" s="64"/>
    </row>
    <row r="38" spans="1:19" s="11" customFormat="1" ht="21.6" x14ac:dyDescent="0.25">
      <c r="A38" s="34">
        <v>28</v>
      </c>
      <c r="B38" s="34"/>
      <c r="C38" s="148" t="s">
        <v>204</v>
      </c>
      <c r="D38" s="135" t="s">
        <v>134</v>
      </c>
      <c r="E38" s="150">
        <v>2119</v>
      </c>
      <c r="F38" s="35" t="s">
        <v>208</v>
      </c>
      <c r="G38" s="149">
        <v>50000000</v>
      </c>
      <c r="H38" s="44" t="s">
        <v>208</v>
      </c>
      <c r="I38" s="44" t="s">
        <v>208</v>
      </c>
      <c r="J38" s="44" t="s">
        <v>208</v>
      </c>
      <c r="K38" s="44" t="s">
        <v>208</v>
      </c>
      <c r="L38" s="44" t="s">
        <v>208</v>
      </c>
      <c r="M38" s="44" t="s">
        <v>208</v>
      </c>
      <c r="N38" s="44" t="s">
        <v>208</v>
      </c>
      <c r="O38" s="44" t="s">
        <v>208</v>
      </c>
      <c r="P38" s="44" t="s">
        <v>208</v>
      </c>
      <c r="Q38" s="44" t="s">
        <v>208</v>
      </c>
      <c r="R38" s="44"/>
      <c r="S38" s="64"/>
    </row>
    <row r="39" spans="1:19" s="11" customFormat="1" ht="34.950000000000003" customHeight="1" x14ac:dyDescent="0.25">
      <c r="A39" s="34">
        <v>29</v>
      </c>
      <c r="B39" s="34"/>
      <c r="C39" s="145" t="s">
        <v>205</v>
      </c>
      <c r="D39" s="121" t="s">
        <v>134</v>
      </c>
      <c r="E39" s="146">
        <v>2119</v>
      </c>
      <c r="F39" s="35" t="s">
        <v>208</v>
      </c>
      <c r="G39" s="151">
        <f>500000000-150000000</f>
        <v>350000000</v>
      </c>
      <c r="H39" s="44" t="s">
        <v>208</v>
      </c>
      <c r="I39" s="44" t="s">
        <v>208</v>
      </c>
      <c r="J39" s="44" t="s">
        <v>208</v>
      </c>
      <c r="K39" s="44" t="s">
        <v>208</v>
      </c>
      <c r="L39" s="44" t="s">
        <v>208</v>
      </c>
      <c r="M39" s="44" t="s">
        <v>208</v>
      </c>
      <c r="N39" s="44" t="s">
        <v>208</v>
      </c>
      <c r="O39" s="44" t="s">
        <v>208</v>
      </c>
      <c r="P39" s="44" t="s">
        <v>208</v>
      </c>
      <c r="Q39" s="44" t="s">
        <v>208</v>
      </c>
      <c r="R39" s="44"/>
      <c r="S39" s="64"/>
    </row>
    <row r="40" spans="1:19" s="11" customFormat="1" ht="32.4" x14ac:dyDescent="0.25">
      <c r="A40" s="34">
        <v>30</v>
      </c>
      <c r="B40" s="34"/>
      <c r="C40" s="148" t="s">
        <v>206</v>
      </c>
      <c r="D40" s="121" t="s">
        <v>134</v>
      </c>
      <c r="E40" s="146">
        <v>2119</v>
      </c>
      <c r="F40" s="35" t="s">
        <v>208</v>
      </c>
      <c r="G40" s="151">
        <v>150000000</v>
      </c>
      <c r="H40" s="44" t="s">
        <v>208</v>
      </c>
      <c r="I40" s="44" t="s">
        <v>208</v>
      </c>
      <c r="J40" s="44" t="s">
        <v>208</v>
      </c>
      <c r="K40" s="44" t="s">
        <v>208</v>
      </c>
      <c r="L40" s="44" t="s">
        <v>208</v>
      </c>
      <c r="M40" s="44" t="s">
        <v>208</v>
      </c>
      <c r="N40" s="44" t="s">
        <v>208</v>
      </c>
      <c r="O40" s="44" t="s">
        <v>208</v>
      </c>
      <c r="P40" s="44" t="s">
        <v>208</v>
      </c>
      <c r="Q40" s="44" t="s">
        <v>208</v>
      </c>
      <c r="R40" s="44"/>
      <c r="S40" s="64"/>
    </row>
    <row r="41" spans="1:19" s="11" customFormat="1" ht="12" x14ac:dyDescent="0.25">
      <c r="A41" s="34">
        <v>31</v>
      </c>
      <c r="B41" s="34"/>
      <c r="C41" s="145" t="s">
        <v>207</v>
      </c>
      <c r="D41" s="121" t="s">
        <v>134</v>
      </c>
      <c r="E41" s="146">
        <v>2119</v>
      </c>
      <c r="F41" s="35" t="s">
        <v>208</v>
      </c>
      <c r="G41" s="151">
        <v>300000000</v>
      </c>
      <c r="H41" s="44" t="s">
        <v>208</v>
      </c>
      <c r="I41" s="44" t="s">
        <v>208</v>
      </c>
      <c r="J41" s="44" t="s">
        <v>208</v>
      </c>
      <c r="K41" s="44" t="s">
        <v>208</v>
      </c>
      <c r="L41" s="44" t="s">
        <v>208</v>
      </c>
      <c r="M41" s="44" t="s">
        <v>208</v>
      </c>
      <c r="N41" s="44" t="s">
        <v>208</v>
      </c>
      <c r="O41" s="44" t="s">
        <v>208</v>
      </c>
      <c r="P41" s="44" t="s">
        <v>208</v>
      </c>
      <c r="Q41" s="44" t="s">
        <v>208</v>
      </c>
      <c r="R41" s="44"/>
      <c r="S41" s="64"/>
    </row>
    <row r="42" spans="1:19" s="11" customFormat="1" ht="12" x14ac:dyDescent="0.25">
      <c r="A42" s="225" t="s">
        <v>7</v>
      </c>
      <c r="B42" s="226"/>
      <c r="C42" s="227"/>
      <c r="D42" s="30"/>
      <c r="E42" s="21"/>
      <c r="F42" s="31"/>
      <c r="G42" s="32">
        <f>SUM(G12:G41)</f>
        <v>2756861953</v>
      </c>
      <c r="H42" s="32"/>
      <c r="I42" s="32"/>
      <c r="J42" s="32"/>
      <c r="K42" s="21"/>
      <c r="L42" s="21"/>
      <c r="M42" s="21"/>
      <c r="N42" s="21"/>
      <c r="O42" s="21"/>
      <c r="P42" s="21"/>
      <c r="Q42" s="21"/>
      <c r="R42" s="21"/>
      <c r="S42" s="56"/>
    </row>
    <row r="43" spans="1:19" s="11" customFormat="1" ht="12" x14ac:dyDescent="0.25">
      <c r="B43" s="12"/>
      <c r="C43" s="13"/>
      <c r="D43" s="12"/>
      <c r="E43" s="12"/>
      <c r="F43" s="15"/>
      <c r="G43" s="14"/>
      <c r="H43" s="14"/>
      <c r="I43" s="14"/>
      <c r="J43" s="14"/>
      <c r="K43" s="12"/>
      <c r="L43" s="12"/>
      <c r="M43" s="12"/>
      <c r="N43" s="12"/>
      <c r="O43" s="12"/>
      <c r="P43" s="12"/>
      <c r="Q43" s="12"/>
      <c r="R43" s="12"/>
      <c r="S43" s="57"/>
    </row>
    <row r="44" spans="1:19" s="11" customFormat="1" ht="12" x14ac:dyDescent="0.25">
      <c r="B44" s="12"/>
      <c r="D44" s="12"/>
      <c r="E44" s="12"/>
      <c r="F44" s="15"/>
      <c r="G44" s="16"/>
      <c r="H44" s="16"/>
      <c r="I44" s="16"/>
      <c r="J44" s="16"/>
      <c r="K44" s="12"/>
      <c r="L44" s="12"/>
      <c r="M44" s="12"/>
      <c r="N44" s="12"/>
      <c r="O44" s="12"/>
      <c r="P44" s="12"/>
      <c r="Q44" s="12"/>
      <c r="R44" s="12"/>
      <c r="S44" s="57"/>
    </row>
    <row r="45" spans="1:19" s="11" customFormat="1" ht="12" x14ac:dyDescent="0.25">
      <c r="A45" s="17"/>
      <c r="B45" s="12"/>
      <c r="D45" s="12"/>
      <c r="E45" s="12"/>
      <c r="F45" s="15"/>
      <c r="G45" s="16"/>
      <c r="H45" s="16"/>
      <c r="I45" s="16"/>
      <c r="J45" s="16"/>
      <c r="K45" s="12"/>
      <c r="L45" s="12"/>
      <c r="M45" s="12"/>
      <c r="N45" s="12"/>
      <c r="O45" s="12"/>
      <c r="P45" s="12"/>
      <c r="Q45" s="12"/>
      <c r="R45" s="12"/>
      <c r="S45" s="57"/>
    </row>
    <row r="46" spans="1:19" s="11" customFormat="1" ht="12" x14ac:dyDescent="0.25">
      <c r="B46" s="12"/>
      <c r="D46" s="12"/>
      <c r="E46" s="12"/>
      <c r="F46" s="15"/>
      <c r="G46" s="16"/>
      <c r="H46" s="16"/>
      <c r="I46" s="16"/>
      <c r="J46" s="16"/>
      <c r="K46" s="12"/>
      <c r="L46" s="12"/>
      <c r="M46" s="12"/>
      <c r="N46" s="12"/>
      <c r="O46" s="12"/>
      <c r="P46" s="12"/>
      <c r="Q46" s="12"/>
      <c r="R46" s="12"/>
      <c r="S46" s="57"/>
    </row>
    <row r="47" spans="1:19" s="11" customFormat="1" ht="12" x14ac:dyDescent="0.25">
      <c r="B47" s="12"/>
      <c r="D47" s="12"/>
      <c r="E47" s="12"/>
      <c r="F47" s="15"/>
      <c r="G47" s="16"/>
      <c r="H47" s="16"/>
      <c r="I47" s="16"/>
      <c r="J47" s="16"/>
      <c r="K47" s="12"/>
      <c r="L47" s="12"/>
      <c r="M47" s="12"/>
      <c r="N47" s="12"/>
      <c r="O47" s="12"/>
      <c r="P47" s="12"/>
      <c r="Q47" s="12"/>
      <c r="R47" s="12"/>
      <c r="S47" s="57"/>
    </row>
    <row r="48" spans="1:19" s="11" customFormat="1" ht="12" x14ac:dyDescent="0.25">
      <c r="B48" s="12"/>
      <c r="D48" s="12"/>
      <c r="E48" s="12"/>
      <c r="F48" s="15"/>
      <c r="G48" s="16"/>
      <c r="H48" s="16"/>
      <c r="I48" s="16"/>
      <c r="J48" s="16"/>
      <c r="K48" s="12"/>
      <c r="L48" s="12"/>
      <c r="M48" s="12"/>
      <c r="N48" s="12"/>
      <c r="O48" s="12"/>
      <c r="P48" s="12"/>
      <c r="Q48" s="12"/>
      <c r="R48" s="12"/>
      <c r="S48" s="57"/>
    </row>
    <row r="49" spans="2:19" s="11" customFormat="1" ht="12" x14ac:dyDescent="0.25">
      <c r="B49" s="12"/>
      <c r="D49" s="12"/>
      <c r="E49" s="12"/>
      <c r="F49" s="15"/>
      <c r="G49" s="16"/>
      <c r="H49" s="16"/>
      <c r="I49" s="16"/>
      <c r="J49" s="16"/>
      <c r="K49" s="12"/>
      <c r="L49" s="12"/>
      <c r="M49" s="12"/>
      <c r="N49" s="12"/>
      <c r="O49" s="12"/>
      <c r="P49" s="12"/>
      <c r="Q49" s="12"/>
      <c r="R49" s="12"/>
      <c r="S49" s="57"/>
    </row>
  </sheetData>
  <mergeCells count="12">
    <mergeCell ref="C6:C7"/>
    <mergeCell ref="S10:S11"/>
    <mergeCell ref="A42:C42"/>
    <mergeCell ref="A10:A11"/>
    <mergeCell ref="C10:C11"/>
    <mergeCell ref="D10:D11"/>
    <mergeCell ref="E10:E11"/>
    <mergeCell ref="F10:F11"/>
    <mergeCell ref="K10:M10"/>
    <mergeCell ref="N10:P10"/>
    <mergeCell ref="Q10:Q11"/>
    <mergeCell ref="R10:R11"/>
  </mergeCells>
  <pageMargins left="0.7" right="0.7" top="0.75" bottom="0.75" header="0.3" footer="0.3"/>
  <pageSetup paperSize="8" scale="88" fitToHeight="0" orientation="landscape" r:id="rId1"/>
  <headerFooter>
    <oddFooter>&amp;C&amp;P/&amp;N&amp;R&amp;D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Travaux</vt:lpstr>
      <vt:lpstr>Biens et Services</vt:lpstr>
      <vt:lpstr>Consultants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Achoumou Freddy-Yvan AMAFON</cp:lastModifiedBy>
  <cp:lastPrinted>2022-06-28T09:37:10Z</cp:lastPrinted>
  <dcterms:created xsi:type="dcterms:W3CDTF">2019-02-19T11:01:25Z</dcterms:created>
  <dcterms:modified xsi:type="dcterms:W3CDTF">2024-02-08T15:53:29Z</dcterms:modified>
</cp:coreProperties>
</file>