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CFB6F22C-85D2-4718-80A8-8AC48DDD3BD5}" xr6:coauthVersionLast="47" xr6:coauthVersionMax="47" xr10:uidLastSave="{00000000-0000-0000-0000-000000000000}"/>
  <bookViews>
    <workbookView xWindow="-120" yWindow="-120" windowWidth="29040" windowHeight="15840" xr2:uid="{00000000-000D-0000-FFFF-FFFF00000000}"/>
  </bookViews>
  <sheets>
    <sheet name="PGPM" sheetId="4" r:id="rId1"/>
    <sheet name="PLAN DE PASSATION DES MARCHES " sheetId="6" state="hidden" r:id="rId2"/>
    <sheet name="AMI ET PQL" sheetId="8" state="hidden" r:id="rId3"/>
    <sheet name="PGSPM" sheetId="5" r:id="rId4"/>
    <sheet name="PSC_PSL_PSO " sheetId="9" state="hidden" r:id="rId5"/>
    <sheet name="LISTE RESTREINTE" sheetId="10" state="hidden" r:id="rId6"/>
  </sheets>
  <definedNames>
    <definedName name="_xlnm.Print_Area" localSheetId="0">PGPM!$A$1:$J$47</definedName>
    <definedName name="_xlnm.Print_Area" localSheetId="1">'PLAN DE PASSATION DES MARCHES '!$A$1:$AA$39</definedName>
    <definedName name="_xlnm.Print_Area" localSheetId="4">'PSC_PSL_PSO '!$A$1:$Y$50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8" i="8" l="1"/>
  <c r="Q18" i="8"/>
  <c r="S17" i="8"/>
  <c r="Q13" i="9" l="1"/>
  <c r="Q12" i="9"/>
  <c r="S32" i="8"/>
  <c r="M32" i="8"/>
  <c r="L32" i="8"/>
  <c r="S31" i="8"/>
  <c r="S17" i="6"/>
  <c r="Q17" i="6"/>
  <c r="S12" i="6"/>
  <c r="S11" i="6"/>
  <c r="Q12" i="6"/>
  <c r="Q11" i="6"/>
  <c r="S20" i="6" l="1"/>
  <c r="Q20" i="6"/>
  <c r="M37" i="9"/>
  <c r="L37" i="9"/>
  <c r="K37" i="9"/>
  <c r="M42" i="9"/>
  <c r="L42" i="9"/>
  <c r="K42" i="9"/>
  <c r="Q11" i="9"/>
  <c r="Q12" i="8"/>
  <c r="Q26" i="8"/>
  <c r="Q24" i="8"/>
  <c r="S25" i="8"/>
  <c r="S23" i="8"/>
  <c r="S16" i="8"/>
  <c r="S15" i="8"/>
  <c r="N16" i="8"/>
  <c r="M16" i="8"/>
  <c r="L16" i="8"/>
  <c r="W14" i="8"/>
  <c r="V14" i="8"/>
  <c r="S14" i="8"/>
  <c r="S13" i="8"/>
  <c r="W30" i="8"/>
  <c r="V30" i="8"/>
  <c r="S30" i="8"/>
  <c r="W28" i="8"/>
  <c r="V28" i="8"/>
  <c r="S28" i="8"/>
  <c r="S22" i="8"/>
  <c r="S11" i="8"/>
  <c r="W10" i="8"/>
  <c r="V10" i="8"/>
  <c r="S10" i="8"/>
  <c r="S10" i="6"/>
  <c r="Q10" i="6"/>
  <c r="S9" i="6"/>
  <c r="Q9" i="6"/>
  <c r="S29" i="8"/>
  <c r="S27" i="8"/>
  <c r="S21" i="8"/>
  <c r="Q20" i="8"/>
  <c r="W20" i="8"/>
  <c r="V20" i="8"/>
  <c r="S20" i="8"/>
  <c r="L20" i="8"/>
  <c r="N20" i="8"/>
  <c r="M20" i="8"/>
  <c r="S19" i="8"/>
  <c r="S19" i="6"/>
  <c r="Q19" i="6"/>
  <c r="S18" i="6"/>
  <c r="Q18" i="6"/>
  <c r="Q10" i="9"/>
  <c r="M38" i="9"/>
  <c r="L38" i="9"/>
  <c r="K38" i="9"/>
  <c r="M41" i="9"/>
  <c r="L41" i="9"/>
  <c r="K41" i="9"/>
  <c r="M40" i="9"/>
  <c r="L40" i="9"/>
  <c r="K40" i="9"/>
  <c r="M39" i="9"/>
  <c r="L39" i="9"/>
  <c r="K39" i="9"/>
  <c r="M36" i="9"/>
  <c r="L36" i="9"/>
  <c r="K36" i="9"/>
  <c r="M35" i="9"/>
  <c r="L35" i="9"/>
  <c r="K35" i="9"/>
  <c r="M34" i="9"/>
  <c r="L34" i="9"/>
  <c r="K3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 Windows</author>
  </authors>
  <commentList>
    <comment ref="I12" authorId="0" shapeId="0" xr:uid="{8217B271-7AF7-4BCD-920B-3C0D7B5D49E6}">
      <text>
        <r>
          <rPr>
            <b/>
            <sz val="9"/>
            <color indexed="81"/>
            <rFont val="Tahoma"/>
            <family val="2"/>
          </rPr>
          <t>Utilisateur Windows:</t>
        </r>
        <r>
          <rPr>
            <sz val="9"/>
            <color indexed="81"/>
            <rFont val="Tahoma"/>
            <family val="2"/>
          </rPr>
          <t xml:space="preserve">
CELLULE DE SUIVI</t>
        </r>
      </text>
    </comment>
    <comment ref="I19" authorId="0" shapeId="0" xr:uid="{FF985670-C33A-4070-B252-6EF2A98D4EB5}">
      <text>
        <r>
          <rPr>
            <b/>
            <sz val="12"/>
            <color indexed="81"/>
            <rFont val="Tahoma"/>
            <family val="2"/>
          </rPr>
          <t>Utilisateur Windows:</t>
        </r>
        <r>
          <rPr>
            <sz val="12"/>
            <color indexed="81"/>
            <rFont val="Tahoma"/>
            <family val="2"/>
          </rPr>
          <t xml:space="preserve">
- DALOA: 6011 (KFC SERVICES)
- KORHOGO: 6011 (BURMA ET DIGIPRINT)
- KORHOGO: 6014 (ENERGY COM)
-KORHOGO: 6099 (VASETECH)</t>
        </r>
      </text>
    </comment>
    <comment ref="I23" authorId="0" shapeId="0" xr:uid="{600C81B4-8B17-421A-89DC-45F4AA965EBA}">
      <text>
        <r>
          <rPr>
            <b/>
            <sz val="9"/>
            <color indexed="81"/>
            <rFont val="Tahoma"/>
            <family val="2"/>
          </rPr>
          <t>Utilisateur Windows:</t>
        </r>
        <r>
          <rPr>
            <sz val="9"/>
            <color indexed="81"/>
            <rFont val="Tahoma"/>
            <family val="2"/>
          </rPr>
          <t xml:space="preserve">
KORHOGO</t>
        </r>
      </text>
    </comment>
    <comment ref="I24" authorId="0" shapeId="0" xr:uid="{88BAD34C-62FD-485F-99BB-1604C4D1D159}">
      <text>
        <r>
          <rPr>
            <b/>
            <sz val="9"/>
            <color indexed="81"/>
            <rFont val="Tahoma"/>
            <family val="2"/>
          </rPr>
          <t>Utilisateur Windows:</t>
        </r>
        <r>
          <rPr>
            <sz val="9"/>
            <color indexed="81"/>
            <rFont val="Tahoma"/>
            <family val="2"/>
          </rPr>
          <t xml:space="preserve">
KORHOGO</t>
        </r>
      </text>
    </comment>
    <comment ref="I25" authorId="0" shapeId="0" xr:uid="{FE052047-F1AE-4DD6-957B-5776183BE04F}">
      <text>
        <r>
          <rPr>
            <b/>
            <sz val="9"/>
            <color indexed="81"/>
            <rFont val="Tahoma"/>
            <family val="2"/>
          </rPr>
          <t>Utilisateur Windows:</t>
        </r>
        <r>
          <rPr>
            <sz val="9"/>
            <color indexed="81"/>
            <rFont val="Tahoma"/>
            <family val="2"/>
          </rPr>
          <t xml:space="preserve">
KORHOGO</t>
        </r>
      </text>
    </comment>
  </commentList>
</comments>
</file>

<file path=xl/sharedStrings.xml><?xml version="1.0" encoding="utf-8"?>
<sst xmlns="http://schemas.openxmlformats.org/spreadsheetml/2006/main" count="896" uniqueCount="261">
  <si>
    <t xml:space="preserve">PLAN GENERAL DE PASSATION DES MARCHES </t>
  </si>
  <si>
    <t>N° d'ordre</t>
  </si>
  <si>
    <t>Autorité Contractante</t>
  </si>
  <si>
    <t xml:space="preserve">DE LA REPUBLIQUE DE CÔTE D'IVOIRE </t>
  </si>
  <si>
    <t xml:space="preserve">Source de financement </t>
  </si>
  <si>
    <r>
      <rPr>
        <b/>
        <u/>
        <sz val="11"/>
        <color theme="1"/>
        <rFont val="Arial"/>
        <family val="2"/>
      </rPr>
      <t>Notes</t>
    </r>
    <r>
      <rPr>
        <b/>
        <sz val="11"/>
        <color theme="1"/>
        <rFont val="Arial"/>
        <family val="2"/>
      </rPr>
      <t xml:space="preserve"> :</t>
    </r>
  </si>
  <si>
    <t>Année :</t>
  </si>
  <si>
    <t>N</t>
  </si>
  <si>
    <t>Ministère / Institution :</t>
  </si>
  <si>
    <t xml:space="preserve"> d'une préqualification) - AMI + AOR (appel d'offres restreint précédé d'un appel à manifestation d'intérêt)</t>
  </si>
  <si>
    <t>Part réservée aux PME ou PMI              (oui / non)</t>
  </si>
  <si>
    <t>Type de marchés 
(1)</t>
  </si>
  <si>
    <t>Mode de passation 
(2)</t>
  </si>
  <si>
    <t>CONV (convention) - LCVM (lettre de commande valant marché)</t>
  </si>
  <si>
    <t>Date prévue pour la transmission du DAO à la DMP</t>
  </si>
  <si>
    <t xml:space="preserve">Objet de l'appel d'offres envisagé </t>
  </si>
  <si>
    <t>Code AC:</t>
  </si>
  <si>
    <r>
      <t>La programmation se fera dans cet ordre et par structure:</t>
    </r>
    <r>
      <rPr>
        <b/>
        <sz val="12"/>
        <color theme="1"/>
        <rFont val="Arial"/>
        <family val="2"/>
      </rPr>
      <t xml:space="preserve">
(1)</t>
    </r>
    <r>
      <rPr>
        <sz val="12"/>
        <color theme="1"/>
        <rFont val="Arial"/>
        <family val="2"/>
      </rPr>
      <t xml:space="preserve"> Travaux - fournitures - service de consultant - services courants </t>
    </r>
  </si>
  <si>
    <r>
      <rPr>
        <b/>
        <sz val="12"/>
        <color theme="1"/>
        <rFont val="Arial"/>
        <family val="2"/>
      </rPr>
      <t xml:space="preserve">(2) </t>
    </r>
    <r>
      <rPr>
        <sz val="12"/>
        <color theme="1"/>
        <rFont val="Arial"/>
        <family val="2"/>
      </rPr>
      <t>PSO (Procédure Simplifiée à compétition Ouverte) - PSL (Procédure Simplifiée à compétition Limitée) 
      PSC (Procédure Simplifié de demande de Cotation)
      Pour les marchés de type intellectuel: AMI (Avis à Manifestation d'Intérêt) ou CV (comparaison de Curriculum Vitae) 
      CONV (convention) - LCVM (lettre de commande valant marché)</t>
    </r>
  </si>
  <si>
    <r>
      <rPr>
        <b/>
        <u/>
        <sz val="12"/>
        <color theme="1"/>
        <rFont val="Arial"/>
        <family val="2"/>
      </rPr>
      <t>Notes</t>
    </r>
    <r>
      <rPr>
        <b/>
        <sz val="12"/>
        <color theme="1"/>
        <rFont val="Arial"/>
        <family val="2"/>
      </rPr>
      <t xml:space="preserve"> :</t>
    </r>
  </si>
  <si>
    <t>PLAN GENERAL SIMPLIFIE DE  PASSATION DES MARCHES (PGSPM)</t>
  </si>
  <si>
    <t>NB: l'objet de l'appel d'offres est différent du libellé de la ligne ou l'article.</t>
  </si>
  <si>
    <t>PDU</t>
  </si>
  <si>
    <t>TRAVAUX</t>
  </si>
  <si>
    <t>SERVICE DE CONSULTANT</t>
  </si>
  <si>
    <t>AMI+AOR</t>
  </si>
  <si>
    <t>OUI</t>
  </si>
  <si>
    <t>MESRS/Programme de Décentralisation des Universités (PDU)</t>
  </si>
  <si>
    <t>TRESOR PUBLIC</t>
  </si>
  <si>
    <t>FOURNITURE</t>
  </si>
  <si>
    <t>BID</t>
  </si>
  <si>
    <t>AOO</t>
  </si>
  <si>
    <t>PSC</t>
  </si>
  <si>
    <t>NON APPLICABLE</t>
  </si>
  <si>
    <t xml:space="preserve">PLAN DE PASSATION DES MARCHES </t>
  </si>
  <si>
    <t>Section :</t>
  </si>
  <si>
    <t>Institution :</t>
  </si>
  <si>
    <t>objet du marché (1)</t>
  </si>
  <si>
    <t>Source de financement (2)</t>
  </si>
  <si>
    <t>Ligne budgétaire</t>
  </si>
  <si>
    <t>type de marché (3)</t>
  </si>
  <si>
    <t>Part réservée aux PME ou PMI (Oui/Non)
(4)</t>
  </si>
  <si>
    <t>Mode de passation (5)</t>
  </si>
  <si>
    <t>Structure en charge de la conduite des opérations de passation de marché (s) (DAAF ou autre structure) (6)</t>
  </si>
  <si>
    <t>Structure en charge de la description des besoins (7)</t>
  </si>
  <si>
    <t xml:space="preserve">Date d'approbation du DAO </t>
  </si>
  <si>
    <t>Date de publication de l'avis d'appel d'offres</t>
  </si>
  <si>
    <t>Date d'ouverture des offres</t>
  </si>
  <si>
    <t>Date d'élaboration du rapport d'évaluation</t>
  </si>
  <si>
    <t xml:space="preserve">Date de jugement des offres </t>
  </si>
  <si>
    <t xml:space="preserve">Date d'approbation de l'attribution  </t>
  </si>
  <si>
    <t>Date de la négociation (9)</t>
  </si>
  <si>
    <t xml:space="preserve">Date de la signature du marché   </t>
  </si>
  <si>
    <t>Date d'approbation du marché</t>
  </si>
  <si>
    <t>Date de l'exécution du marché</t>
  </si>
  <si>
    <t>ANO / DMP</t>
  </si>
  <si>
    <t>ANO / Bailleur</t>
  </si>
  <si>
    <t>Techniques</t>
  </si>
  <si>
    <t>Financières</t>
  </si>
  <si>
    <t>Attributaire</t>
  </si>
  <si>
    <t xml:space="preserve">Début </t>
  </si>
  <si>
    <t>Fin</t>
  </si>
  <si>
    <t>NOTES</t>
  </si>
  <si>
    <t>(1) l'objet doit indiquer la nature exacte de la prestation</t>
  </si>
  <si>
    <t>(2) Budget Etat ou financement d'un bailleur de fonds</t>
  </si>
  <si>
    <t>(3) Travaux - fournitures - service de consultant - service courant</t>
  </si>
  <si>
    <t>(4) Mettre "Oui" si c'est un marché est réservé aux PME sinon mettre "Non"</t>
  </si>
  <si>
    <t xml:space="preserve">(5) AOO (Appel d'Offres National Ouvert) - AOI (Appel d'Offres International Ouvert) - PQL + AO (Appel d'Offres Ouvert Précédé d'une Préqualification) - AMI + AOR (Appel d'Offres Restreint précédé d'un Appel à Manifestation d'Intérêt) - AOR (Appel d'Offres Restreint) - G/G (marché de Gré à Gré) - DSP (convention de Délégation de Service Public, préciser si Parténariat Public Privé) </t>
  </si>
  <si>
    <t xml:space="preserve">(6) Structure qui est chargée de conduire la passation de l'appel d'offres (DAAF ou toute autre structure) </t>
  </si>
  <si>
    <t>(7) Structure qui a en charge de définir les prescriptions techniques du besoin à satifaire</t>
  </si>
  <si>
    <t>(8) Date de transmission du projet de DAO élaboré à la DMP</t>
  </si>
  <si>
    <t>(9) A renseigner uniquement que pour les appels d'offres de service de consultant</t>
  </si>
  <si>
    <t>Date d'approbation de l'AMI et de la DP</t>
  </si>
  <si>
    <t xml:space="preserve">Date d'ouverture </t>
  </si>
  <si>
    <t>Date d'élaboration du rapport d'évaluation
(étapes 1 et 2)</t>
  </si>
  <si>
    <t xml:space="preserve">Date de jugement des offres
(étapes 1 et 2) </t>
  </si>
  <si>
    <t>Date d'approbation de la liste restreinte 
(étape 1 uniquement )</t>
  </si>
  <si>
    <t xml:space="preserve">Date de la négociation </t>
  </si>
  <si>
    <t xml:space="preserve">ANO / DMP
</t>
  </si>
  <si>
    <t>intérêts (1ére étape)
offres techniques (2éme étape)</t>
  </si>
  <si>
    <t xml:space="preserve">
offres financières (2ème étape uniquement)</t>
  </si>
  <si>
    <t>AOR</t>
  </si>
  <si>
    <t xml:space="preserve">(5) PQL + AO (Appel d'Offres Ouvert Précédé d'une Préqualification) - AMI + AOR (Appel d'Offres Restreint précédé d'un Appel à Manifestation d'Intérêt) </t>
  </si>
  <si>
    <t>(8) Date de transmission de l'AMI et du projet de DP élaboré à la DMP</t>
  </si>
  <si>
    <t xml:space="preserve">(9) Publication est de 30 jours pour la PQL et 15 jours pour l'AMI  </t>
  </si>
  <si>
    <t>A NE PAS RENSEIGNER</t>
  </si>
  <si>
    <t xml:space="preserve">PLAN SIMPLIFIE DE PASSATION DES MARCHES </t>
  </si>
  <si>
    <t>Mode de passation
(4)</t>
  </si>
  <si>
    <t>Structure en charge de la conduite des opérations de passation de marché (s) (DAAF ou autre structure) (5)</t>
  </si>
  <si>
    <t>Structure en charge de la description des besoins (6)</t>
  </si>
  <si>
    <t>Date de transmission du projet de DAO  à la CPMP (7)</t>
  </si>
  <si>
    <t>Date de Validation du DAO par la CPMP 
(3 jours)</t>
  </si>
  <si>
    <t>Date de réception des lettres d'intention
(Cas des PSL)
(9)</t>
  </si>
  <si>
    <t>Date de de transmission de l'AAO à la DMP 
(PSO uniquement)
(10)</t>
  </si>
  <si>
    <t>Date de publication de l'avis d'appel d'offres (15 jrs) (PSO uniquement)
(11)</t>
  </si>
  <si>
    <t>Date d'ouverture des plis</t>
  </si>
  <si>
    <t>Date d'attribution
(5 jours)</t>
  </si>
  <si>
    <t>Date de notification de l'attribution</t>
  </si>
  <si>
    <t>attributaire</t>
  </si>
  <si>
    <t>Autorité contractante</t>
  </si>
  <si>
    <t>(1) l'objet doit avoir un rapport avec le besoin à acquerir</t>
  </si>
  <si>
    <t>(4)PSL (Procédure Simplifiée à compétition Limitée) - PSO (Procédure Simplifiée à compétition Ouverte)</t>
  </si>
  <si>
    <t xml:space="preserve">(5) Structure qui est chargée de conduire la passation de l'appel d'offres (DAAF ou toute autre structure) </t>
  </si>
  <si>
    <t>(6) Structure qui a en charge de définir les prescriptions techniques du besoin à satifaire</t>
  </si>
  <si>
    <t>(7) Date de transmission du projet de DAO élaboré à la CPMP</t>
  </si>
  <si>
    <t>(8) et (9) A renseigner uniquement dans le cas des PSL</t>
  </si>
  <si>
    <t>(10) et (11) A Renseigner uniquement dans le cas d'une PSO</t>
  </si>
  <si>
    <t>Contrat passé en Procédure Simplifiée avec demande de Cotation (PSC)</t>
  </si>
  <si>
    <t>Structure en charge de la conduite des opérations de passation de contrat (s) (DAAF ou autre structure) (3)</t>
  </si>
  <si>
    <t>Structure en charge de la description des besoins (4)</t>
  </si>
  <si>
    <t>Part réservée Aux PME ou PMI (oui / non)</t>
  </si>
  <si>
    <t>Date sollicitation des factures</t>
  </si>
  <si>
    <t>Date réception des factures</t>
  </si>
  <si>
    <r>
      <rPr>
        <b/>
        <sz val="11"/>
        <color theme="1"/>
        <rFont val="Calibri"/>
        <family val="2"/>
        <scheme val="minor"/>
      </rPr>
      <t>Date d'ouverture</t>
    </r>
    <r>
      <rPr>
        <sz val="11"/>
        <color theme="1"/>
        <rFont val="Calibri"/>
        <family val="2"/>
        <scheme val="minor"/>
      </rPr>
      <t xml:space="preserve">
(ouverture, analyse et attribution concomittament)</t>
    </r>
  </si>
  <si>
    <t xml:space="preserve">Date de la signature du formulaire de sélection </t>
  </si>
  <si>
    <t>Date de l'exécution du  contrat</t>
  </si>
  <si>
    <t>Rapporteur (Si dotation superieur ou égale à 10 millions)</t>
  </si>
  <si>
    <t xml:space="preserve">(3) Structure qui est chargée de conduire la passation de l'appel d'offres (DAAF ou toute autre structure) </t>
  </si>
  <si>
    <t>(4) Structure qui a en charge de définir les prescriptions techniques du besoin à satifaire</t>
  </si>
  <si>
    <t>PLAN SIMPLIFIE DE PASSATION DES MARCHES : Services de types intellectuel</t>
  </si>
  <si>
    <t>A- sur la base de liste restreinte</t>
  </si>
  <si>
    <t>Structure en charge de la conduite des opérations de passation du contrat (s) (DAAF ou autre structure) (3)</t>
  </si>
  <si>
    <t xml:space="preserve">Date  d'élaboration de l'AMI </t>
  </si>
  <si>
    <t xml:space="preserve">Date de  transmission de l'AMI  ou de la demande d'autorisation à la DMP </t>
  </si>
  <si>
    <t>Date de publication de l'AMI par la DMP</t>
  </si>
  <si>
    <t xml:space="preserve">Date d'ouverture de l'AMI 
(10 jours à compter de la date de publication de l'AMI </t>
  </si>
  <si>
    <t>Date d'élaboration de la  liste restreinte</t>
  </si>
  <si>
    <t>Date de validation du dossier de consultation par la CPMP</t>
  </si>
  <si>
    <t>Date de réception du dossier de consultation par les candidats</t>
  </si>
  <si>
    <t>Date d'ouverture des offres Techniques
(10 jours à compter de la date de réception du dossier de consultation par les candidats)</t>
  </si>
  <si>
    <t>Date de jugement technique</t>
  </si>
  <si>
    <t>Date d'ouverture des offres Financières</t>
  </si>
  <si>
    <t xml:space="preserve">Date d'attribution
(5 jours à compter de la date d'ouverture des offres techniques)
</t>
  </si>
  <si>
    <t xml:space="preserve">Date de la signature du contrat </t>
  </si>
  <si>
    <t>AMI
(5 jours à compter de la date de l'ouverture)</t>
  </si>
  <si>
    <t>Autorisation DMP
(3 jours à compter de la réception de la demande)</t>
  </si>
  <si>
    <t>SERVICES COURANTS</t>
  </si>
  <si>
    <t>GRE A GRE</t>
  </si>
  <si>
    <t xml:space="preserve"> </t>
  </si>
  <si>
    <t>PSL</t>
  </si>
  <si>
    <t>Travaux de construction d'un bâtiment administratif pour le CROU  de Man</t>
  </si>
  <si>
    <t>Travaux de réalisation d'un système de télé enseignement pour le compte de l'Université de Daloa</t>
  </si>
  <si>
    <t xml:space="preserve">TOTAL GENERAL DES OPERATIONS : </t>
  </si>
  <si>
    <t>Date de sollicitation des entrepises (Cas des PSL)
(8)</t>
  </si>
  <si>
    <t>Destination budgétaire</t>
  </si>
  <si>
    <t>Travaux d'aménagement de la route d'accès à l'Université d'Odienné</t>
  </si>
  <si>
    <t>FOURNITURES</t>
  </si>
  <si>
    <t>AOI</t>
  </si>
  <si>
    <t>Convention de maitrise d'ouvrage déléguée entre le PDU et CI ENERGIES pour les travaux de raccordement éléctrique de l'Université d'Odienné</t>
  </si>
  <si>
    <t>Acquisition de gagdgets publiciataires pour le PDU</t>
  </si>
  <si>
    <t>Contrat passé en Procédure Simplifiée à compétion Limitée (PSL) et en Procédure Simplifiée à compétition Ouverte (PSO)</t>
  </si>
  <si>
    <t>Fourniture et installation d'équipements mobiliers pour les classes, les bureaux, les hébergements et l'infirmerie de l'Université de Bondoukou</t>
  </si>
  <si>
    <t>Fourniture et installation des équipements scientifiques et de laboratoires pour l'Université de Bondoukou</t>
  </si>
  <si>
    <t>Renforcement des capacités pour le personnel administratif et technique de l'Université de Bondoukou</t>
  </si>
  <si>
    <t>Travaux de construction de l'Université d'Odienné</t>
  </si>
  <si>
    <t>Convention de maitrise d'ouvrage déléguée entre le PDU et AGEROUTE pour les travaux d'aménagement de la route d'accès à l'Université d'Odienné</t>
  </si>
  <si>
    <t>Convention de maitrise d'ouvrage déléguée entre le PDU et l'ONEP pour les travaux d'alimentation en eau potable de l'Université d'Odienné</t>
  </si>
  <si>
    <t>Recrutement d'un consultant pour l'élaboration du cahier des charges des équipements scientifiques pour l'Université d'Odienné</t>
  </si>
  <si>
    <t>Part réservée aux PME ou PMI (oui / non)</t>
  </si>
  <si>
    <t>Mission d'assistance et de gestion pour la formation de 10 étudiants en France en vue de l'obtention du diplôme de Doctorat dans le cadre du Projet d'Appui au Développement de l'Université de Bondoukou</t>
  </si>
  <si>
    <t>Sélection d'une firme de consultant pour la mise en place d'un système d'information et de gestion de l'enseignement supérieur et de la recherche scientifique dans le cadre du Projet d'Appui au Développement de l'Université de Bondoukou</t>
  </si>
  <si>
    <t>Sélection d'une firme de consultant pour la mise en place d'un Système d'Information et de Communication pour le compte de l'Agence de l'Assurance Qualité du MESRS dans le cadre du Projet d'Appui au Développement de l'Université de Bondoukou</t>
  </si>
  <si>
    <t>Sélection d'un consultant individuel pour l'appui à l'assurance qualité du MESRS dans le cadre du Projet d'Appui au Développement de l'Université de Bondoukou</t>
  </si>
  <si>
    <t>Sélection d'un Cabinet d'Audit pour l'audit financier du Projet d'Appui au Développement de l'Université d'Odienné</t>
  </si>
  <si>
    <t>Consultant pour l'assistance à maitrise d'ouvrage, le contrôle, la supervision et la direction des travaux de construction de l'Université d'Odienné</t>
  </si>
  <si>
    <t>Convention de maitrise d'œuvre entre le PDU et le BNETD pour les travaux de construction des résidences universitaires à Cocody, Abobo et Bouaké</t>
  </si>
  <si>
    <t>Achat de mobiliers pour le PDU/UGP dans le cadre du Projet d'Appui au Développement de l'Université d'Odienné</t>
  </si>
  <si>
    <t>Acquisition de véhicules pour l'appui à la planification et l'UGP (PDU) dans le cadre du Projet d'Appui au Développement de l'Université d'Odienné</t>
  </si>
  <si>
    <t>Achat de matériels informatiques pour le PDU/UGP dans le cadre du Projet d'Appui au Développement de l'Université d'Odienné</t>
  </si>
  <si>
    <t>Travaux d'aménagement des locaux du PDU/UGP dans le cadre du Projet d'Appui au Développement de l'Université d'Odienné</t>
  </si>
  <si>
    <t>CONVENTION</t>
  </si>
  <si>
    <t>Date prévue pour la transmission du DAO à la DGMP</t>
  </si>
  <si>
    <t>Date probable de lancement</t>
  </si>
  <si>
    <t>Date probable de lancement ou date de demande d'autorisation</t>
  </si>
  <si>
    <t>Recrutement d'un prestataire pour le nettoyage et l'entretien des locaux du PDU</t>
  </si>
  <si>
    <t>Recrutement d'un prestataire pour le gardiennage, la surveillance et la sécurité des locaux du PDU</t>
  </si>
  <si>
    <t>Recrutement d'un prestataire pour l'entretien et la maintenance des installations et équipements du PDU</t>
  </si>
  <si>
    <t>BONDOUKOU</t>
  </si>
  <si>
    <t>ODIENNE</t>
  </si>
  <si>
    <t xml:space="preserve">Oui </t>
  </si>
  <si>
    <t>Oui</t>
  </si>
  <si>
    <t>Recrutement d'un consultant individuel pour l'élaboration du plan stratégique de l'enseignement supérieur dans le cadre du Projet d'Appui au Développement de l'Université d'Odienné</t>
  </si>
  <si>
    <t>Assistance pour l'elaboration d'une étude sur les coûts de  financements du sous- secteur de l'ensignement supérieur dans le cadre du Projet d'Appui au Développement de l'Université d'Odienné</t>
  </si>
  <si>
    <t>MAN</t>
  </si>
  <si>
    <t>DALOA</t>
  </si>
  <si>
    <t xml:space="preserve">Mission d'assistance et de gestion pour la formation de 30 étudiants en France en vue de l'obtention du diplôme de Doctorat dans le cadre du Projet d'Appui au Développement de l'Université d'Odienné </t>
  </si>
  <si>
    <t>COCODY</t>
  </si>
  <si>
    <t>ABOBO</t>
  </si>
  <si>
    <t>BOUAKE</t>
  </si>
  <si>
    <t>PQL+AO</t>
  </si>
  <si>
    <t>BNETD/JESA</t>
  </si>
  <si>
    <t>ACA</t>
  </si>
  <si>
    <t>ANO / DGMP</t>
  </si>
  <si>
    <t>Date de transmission du projet de DAO élaboré à la DGMP (8)</t>
  </si>
  <si>
    <t>Non</t>
  </si>
  <si>
    <t>CABINET MESRS</t>
  </si>
  <si>
    <t>Date de publication de l'AMI/PQL ou de programmation de la DP
(9)</t>
  </si>
  <si>
    <t>01/02/02020</t>
  </si>
  <si>
    <t>07/10 2022</t>
  </si>
  <si>
    <t>Travaux de raccordement de l'Université d'Odienné au réseau de télécommunication</t>
  </si>
  <si>
    <t>Fourniture des ouvrages de référence et des journaux périodiques pour la bibliothèque</t>
  </si>
  <si>
    <t>Contrôle de normalisation des risques et de prévention incendie dans le cadre de la construction de l’Université d'Odienné</t>
  </si>
  <si>
    <t>Fourniture et installation de mobiliers dans la salle de reprographie de l'Université de Korhogo</t>
  </si>
  <si>
    <t>TOTAL GENERAL DES OPERATIONS : 9</t>
  </si>
  <si>
    <t>KORHOGO</t>
  </si>
  <si>
    <t>Travaux d'alimentation en eau potable de l'Université d'Odienné</t>
  </si>
  <si>
    <t>Formation continue des enseignants dans le cadre du Projet d'Appui au Développement de l'Université de Bondoukou</t>
  </si>
  <si>
    <t>Fourniture, installation, mise en service et maintenance des équipements scientifiques pour l'Université de Man</t>
  </si>
  <si>
    <t>Fourniture et installation des matériels informatique pour l'Université de Bondoukou</t>
  </si>
  <si>
    <t>Fourniture et installation de matériels de reprographie pour l'Université de Bondoukou</t>
  </si>
  <si>
    <t>BNETD</t>
  </si>
  <si>
    <t>Travaux géotechniques en vue de la recherche du type de fondation pour les universités d'Abengourou, Daoukro et Dabou</t>
  </si>
  <si>
    <t>TOTAL GENERAL DES LIGNES A MARCHES : 12</t>
  </si>
  <si>
    <t>AUDEP</t>
  </si>
  <si>
    <t>TOTAL GENERAL DES OPERATIONS : 17</t>
  </si>
  <si>
    <t>Travaux de renovation des locaux du PDU</t>
  </si>
  <si>
    <t>ABENGOUROU / DAOUKRO / DABOU</t>
  </si>
  <si>
    <t>Convention de maitrise d'œuvre entre le PDU et le BNETD dans le cadre des travaux de construction d'un bâtiment administratif pour le CROU de Man</t>
  </si>
  <si>
    <t>Convention de maitrise d'œuvre entre le PDU et le BNETD dans le cadre des travaux de construction de la 2ème tranche de l'université de Man (PPP)</t>
  </si>
  <si>
    <t>Travaux topographiques complémentaires pour l'université de MAN</t>
  </si>
  <si>
    <t>Achat de carburant pour le personnel du PDU</t>
  </si>
  <si>
    <t>CELLULE DE SUIVI</t>
  </si>
  <si>
    <t>PSO</t>
  </si>
  <si>
    <t>TOTAL GENERAL DES OPERATIONS : 6</t>
  </si>
  <si>
    <t>Assistance pour l'elaboration d'une étude sur les coûts de  financements du sous- secteur de l'enseignement supérieur dans le cadre du Projet d'Appui au Développement de l'Université d'Odienné</t>
  </si>
  <si>
    <t xml:space="preserve">Mission d'assistance et de gestion pour la formation de 30 étudiants en France en vue de l'obtention du diplôme de Doctorat dans le cadre du Projet d'Appui au Développement de l'Université d'Odienné : Formation initiale pour les enseignements </t>
  </si>
  <si>
    <t>Sélection d'un Cabinet d'Audit pour l'audit financier des exercices 2022, 2023 et la clôture du Projet d'Appui au Développement de l'Université de Bondoukou</t>
  </si>
  <si>
    <t>PRESTATIONS</t>
  </si>
  <si>
    <t>CONVENTION ET MARCHE DE PRESTATION INTELLECTUELLE</t>
  </si>
  <si>
    <t>PRQ + AOR</t>
  </si>
  <si>
    <t>GESTION 2024</t>
  </si>
  <si>
    <t>Fourniture, installation, mise en service et maintenance des équipements de laboratoires et matériels scientifiques pour les travaux pratiques de pétrologie et école de terrain de l’Université de Man</t>
  </si>
  <si>
    <t>Fourniture, installation, mise en service et maintenance des équipements de laboratoires, de géophysiques et matériels scientifiques pour les travaux pratiques de biologie moléculaire, physiologie animale et pharmacologie de l’Université de Man</t>
  </si>
  <si>
    <t>Travaux de raccordement de l'université de Man au poste source de Man</t>
  </si>
  <si>
    <t>PSD</t>
  </si>
  <si>
    <t>Travaux de construction d'un bâtiment administratif pour le CROU  et de la Conciergerie centrale - Services et commerces de l'Université de Man</t>
  </si>
  <si>
    <t>Passation en cours</t>
  </si>
  <si>
    <t>Convention de maitrise d'œuvre entre le PDU et le BNETD dans le cadre des travaux de construction d'un bâtiment administratif pour le CROU et de la Conciergerie centrale - Services et commerces de l'Université de Man</t>
  </si>
  <si>
    <t>Convention de maitrise d'œuvre entre le PDU et le BNETD dans le cadre des travaux de construction des infrastructures universitaires à l'université Alassane Ouattara de Bouaké</t>
  </si>
  <si>
    <t xml:space="preserve">Convention de maitrise d'œuvre entre le PDU et le BNETD dans le cadre des travaux de construction des infrastructures universitaires à l'université Nangui Abrogoua d'Abobo Adjamé </t>
  </si>
  <si>
    <t>Convention de maitrise d'œuvre entre le PDU et le BNETD dans le cadre des travaux de construction des infrastructures universitaires à l'université FHB de Cocody</t>
  </si>
  <si>
    <r>
      <t>La programmation se fera dans cet ordre et par structure:</t>
    </r>
    <r>
      <rPr>
        <b/>
        <sz val="11"/>
        <color theme="1"/>
        <rFont val="Arial"/>
        <family val="2"/>
      </rPr>
      <t xml:space="preserve">
(1)</t>
    </r>
    <r>
      <rPr>
        <sz val="11"/>
        <color theme="1"/>
        <rFont val="Arial"/>
        <family val="2"/>
      </rPr>
      <t xml:space="preserve"> Travaux - fournitures - service de consultant - services courants </t>
    </r>
  </si>
  <si>
    <r>
      <rPr>
        <b/>
        <sz val="11"/>
        <color theme="1"/>
        <rFont val="Arial"/>
        <family val="2"/>
      </rPr>
      <t>(2)</t>
    </r>
    <r>
      <rPr>
        <sz val="11"/>
        <color theme="1"/>
        <rFont val="Arial"/>
        <family val="2"/>
      </rPr>
      <t xml:space="preserve"> AOO (appel d'offres ouvert) - AOI (appel d'offres international ouvert) - PQL + AO (appel d'offres ouvert précédé</t>
    </r>
  </si>
  <si>
    <r>
      <rPr>
        <b/>
        <u/>
        <sz val="11"/>
        <color theme="1"/>
        <rFont val="Arial"/>
        <family val="2"/>
      </rPr>
      <t>NB</t>
    </r>
    <r>
      <rPr>
        <sz val="11"/>
        <color theme="1"/>
        <rFont val="Arial"/>
        <family val="2"/>
      </rPr>
      <t xml:space="preserve">:  Préciser le cas échéant s'il s'agit d'une convention de délégation de service public (DSP) ou d'une convention  de partenariat public-privé (PPP).
         Envisager les modes dérogatoires AOR (appel d'offres restreint) - G/G (marché de gré à gré) qui seront soumis à l'autorisation du Ministre en charge des marchés publics.
</t>
    </r>
    <r>
      <rPr>
        <b/>
        <sz val="11"/>
        <color theme="1"/>
        <rFont val="Arial"/>
        <family val="2"/>
      </rPr>
      <t>L'objet de l'appel d'offres est différent du libbelé de la ligne ou de l'article.</t>
    </r>
    <r>
      <rPr>
        <sz val="11"/>
        <color theme="1"/>
        <rFont val="Arial"/>
        <family val="2"/>
      </rPr>
      <t xml:space="preserve">
</t>
    </r>
  </si>
  <si>
    <t>UKEF / DEUSTCHE BANK</t>
  </si>
  <si>
    <t>TOTAL GENERAL DES OPERATIONS : 12</t>
  </si>
  <si>
    <t xml:space="preserve">Travaux de construction de forages et d'un château d'eau de 400 m3 pour l'université  d’Odienné </t>
  </si>
  <si>
    <t>Acquisition de gadgets publicitaires pour le PDU</t>
  </si>
  <si>
    <t>6011; 6014 ; 6099</t>
  </si>
  <si>
    <t>Fourniture de carburant pour le personnel de l'unité de gestion du PDU</t>
  </si>
  <si>
    <t>Fourniture de bureau pour le personnel de l'unité de gestion du PDU</t>
  </si>
  <si>
    <t>Fourniture et installation de photocopieurs et imprimantes pour l’unité de gestion du PDU</t>
  </si>
  <si>
    <t>Achat de consommables informatiques pour l’unité de gestion du PDU</t>
  </si>
  <si>
    <t>Fourniture et installation de matériels informatique pour l’unité de gestion du PDU</t>
  </si>
  <si>
    <t>Fourniture et installation de mobiliers pour l’unité de gestion du PDU</t>
  </si>
  <si>
    <t>Acquisition sous forme physique et électronique d’ouvrages de référence et des revues périodiques pour la bibliothèque de l'université de Bondoukou</t>
  </si>
  <si>
    <t>Travaux de construction de forages et canalisation da la bâche à eau de l'Université de Korhogo</t>
  </si>
  <si>
    <t>Projet de construction des résidences universitaires de Bouaké</t>
  </si>
  <si>
    <t xml:space="preserve">Projet de construction des résidences universitaires d'Abobo Adjamé </t>
  </si>
  <si>
    <t>Projet de construction des résidences universitaires de Cocody</t>
  </si>
  <si>
    <t>TOTAL GENERAL DES OPERATIONS :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</si>
</sst>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_-* #,##0\ _€_-;\-* #,##0\ _€_-;_-* &quot;-&quot;??\ _€_-;_-@_-"/>
  </numFmts>
  <fonts count="38"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
      <sz val="11"/>
      <color theme="1"/>
      <name val="Arial Black"/>
      <family val="2"/>
    </font>
    <font>
      <b/>
      <u/>
      <sz val="11"/>
      <color theme="1"/>
      <name val="Arial"/>
      <family val="2"/>
    </font>
    <font>
      <sz val="12"/>
      <color theme="1"/>
      <name val="Arial Black"/>
      <family val="2"/>
    </font>
    <font>
      <sz val="12"/>
      <color theme="1"/>
      <name val="Arial"/>
      <family val="2"/>
    </font>
    <font>
      <sz val="11"/>
      <name val="Arial"/>
      <family val="2"/>
    </font>
    <font>
      <sz val="11"/>
      <color theme="1"/>
      <name val="Calibri"/>
      <family val="2"/>
      <scheme val="minor"/>
    </font>
    <font>
      <b/>
      <sz val="12"/>
      <color theme="1"/>
      <name val="Arial"/>
      <family val="2"/>
    </font>
    <font>
      <b/>
      <u/>
      <sz val="12"/>
      <color theme="1"/>
      <name val="Arial"/>
      <family val="2"/>
    </font>
    <font>
      <b/>
      <sz val="14"/>
      <color theme="1"/>
      <name val="Arial Black"/>
      <family val="2"/>
    </font>
    <font>
      <b/>
      <sz val="14"/>
      <color theme="1"/>
      <name val="Arial"/>
      <family val="2"/>
    </font>
    <font>
      <b/>
      <sz val="14"/>
      <name val="Arial"/>
      <family val="2"/>
    </font>
    <font>
      <b/>
      <sz val="14"/>
      <color theme="1"/>
      <name val="Calibri"/>
      <family val="2"/>
      <scheme val="minor"/>
    </font>
    <font>
      <sz val="8"/>
      <color theme="1"/>
      <name val="Arial"/>
      <family val="2"/>
    </font>
    <font>
      <b/>
      <sz val="8"/>
      <name val="Arial"/>
      <family val="2"/>
    </font>
    <font>
      <sz val="8"/>
      <name val="Arial"/>
      <family val="2"/>
    </font>
    <font>
      <b/>
      <sz val="8"/>
      <color theme="1"/>
      <name val="Arial"/>
      <family val="2"/>
    </font>
    <font>
      <sz val="14"/>
      <color theme="1"/>
      <name val="Arial"/>
      <family val="2"/>
    </font>
    <font>
      <b/>
      <u/>
      <sz val="10"/>
      <color theme="1"/>
      <name val="Arial"/>
      <family val="2"/>
    </font>
    <font>
      <sz val="10"/>
      <color theme="1"/>
      <name val="Arial"/>
      <family val="2"/>
    </font>
    <font>
      <sz val="10"/>
      <color theme="1"/>
      <name val="Calibri"/>
      <family val="2"/>
      <scheme val="minor"/>
    </font>
    <font>
      <sz val="9"/>
      <color theme="1"/>
      <name val="Arial"/>
      <family val="2"/>
    </font>
    <font>
      <sz val="9"/>
      <color theme="1"/>
      <name val="Calibri"/>
      <family val="2"/>
      <scheme val="minor"/>
    </font>
    <font>
      <b/>
      <sz val="11"/>
      <color theme="1"/>
      <name val="Arial Black"/>
      <family val="2"/>
    </font>
    <font>
      <b/>
      <sz val="8"/>
      <color rgb="FFFF0000"/>
      <name val="Arial"/>
      <family val="2"/>
    </font>
    <font>
      <sz val="11"/>
      <name val="Calibri"/>
      <family val="2"/>
      <scheme val="minor"/>
    </font>
    <font>
      <b/>
      <sz val="9"/>
      <color theme="1"/>
      <name val="Arial"/>
      <family val="2"/>
    </font>
    <font>
      <b/>
      <sz val="16"/>
      <color theme="1"/>
      <name val="Arial Black"/>
      <family val="2"/>
    </font>
    <font>
      <sz val="8"/>
      <color rgb="FFFF0000"/>
      <name val="Arial"/>
      <family val="2"/>
    </font>
    <font>
      <b/>
      <sz val="11"/>
      <name val="Arial"/>
      <family val="2"/>
    </font>
    <font>
      <b/>
      <sz val="12"/>
      <color theme="1"/>
      <name val="Arial Black"/>
      <family val="2"/>
    </font>
    <font>
      <sz val="9"/>
      <color indexed="81"/>
      <name val="Tahoma"/>
      <family val="2"/>
    </font>
    <font>
      <b/>
      <sz val="9"/>
      <color indexed="81"/>
      <name val="Tahoma"/>
      <family val="2"/>
    </font>
    <font>
      <b/>
      <sz val="12"/>
      <color indexed="81"/>
      <name val="Tahoma"/>
      <family val="2"/>
    </font>
    <font>
      <sz val="12"/>
      <color indexed="81"/>
      <name val="Tahoma"/>
      <family val="2"/>
    </font>
  </fonts>
  <fills count="13">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8" tint="0.59999389629810485"/>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style="thin">
        <color auto="1"/>
      </top>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style="medium">
        <color indexed="64"/>
      </top>
      <bottom/>
      <diagonal/>
    </border>
    <border>
      <left/>
      <right style="thin">
        <color auto="1"/>
      </right>
      <top style="medium">
        <color indexed="64"/>
      </top>
      <bottom/>
      <diagonal/>
    </border>
    <border>
      <left/>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thin">
        <color auto="1"/>
      </left>
      <right style="thin">
        <color auto="1"/>
      </right>
      <top style="medium">
        <color indexed="64"/>
      </top>
      <bottom style="thin">
        <color auto="1"/>
      </bottom>
      <diagonal/>
    </border>
    <border>
      <left style="thin">
        <color auto="1"/>
      </left>
      <right style="medium">
        <color indexed="64"/>
      </right>
      <top style="thin">
        <color auto="1"/>
      </top>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auto="1"/>
      </bottom>
      <diagonal/>
    </border>
    <border>
      <left/>
      <right style="medium">
        <color indexed="64"/>
      </right>
      <top style="thin">
        <color auto="1"/>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bottom/>
      <diagonal/>
    </border>
  </borders>
  <cellStyleXfs count="2">
    <xf numFmtId="0" fontId="0" fillId="0" borderId="0"/>
    <xf numFmtId="164" fontId="9" fillId="0" borderId="0" applyFont="0" applyFill="0" applyBorder="0" applyAlignment="0" applyProtection="0"/>
  </cellStyleXfs>
  <cellXfs count="323">
    <xf numFmtId="0" fontId="0" fillId="0" borderId="0" xfId="0"/>
    <xf numFmtId="0" fontId="2" fillId="0" borderId="0" xfId="0" applyFont="1"/>
    <xf numFmtId="0" fontId="3" fillId="0" borderId="1" xfId="0" applyFont="1" applyBorder="1" applyAlignment="1">
      <alignment horizontal="center" vertical="center"/>
    </xf>
    <xf numFmtId="0" fontId="3" fillId="0" borderId="0" xfId="0" applyFont="1"/>
    <xf numFmtId="0" fontId="4" fillId="0" borderId="0" xfId="0" applyFont="1" applyAlignment="1">
      <alignment horizontal="center"/>
    </xf>
    <xf numFmtId="0" fontId="7" fillId="0" borderId="0" xfId="0" applyFont="1" applyAlignment="1">
      <alignment horizontal="left"/>
    </xf>
    <xf numFmtId="0" fontId="6" fillId="0" borderId="0" xfId="0" applyFont="1" applyAlignment="1">
      <alignment horizontal="left"/>
    </xf>
    <xf numFmtId="0" fontId="2" fillId="0" borderId="1" xfId="0" applyFont="1" applyBorder="1" applyAlignment="1">
      <alignment horizontal="center" vertical="center"/>
    </xf>
    <xf numFmtId="0" fontId="8" fillId="0" borderId="1" xfId="0" applyFont="1" applyBorder="1" applyAlignment="1">
      <alignment horizontal="center" vertical="center"/>
    </xf>
    <xf numFmtId="0" fontId="7" fillId="0" borderId="0" xfId="0" applyFont="1"/>
    <xf numFmtId="0" fontId="10" fillId="0" borderId="0" xfId="0" applyFont="1"/>
    <xf numFmtId="0" fontId="8" fillId="0" borderId="1" xfId="0" applyFont="1" applyBorder="1" applyAlignment="1">
      <alignment horizontal="center" vertical="center" wrapText="1"/>
    </xf>
    <xf numFmtId="0" fontId="4" fillId="0" borderId="0" xfId="0" applyFont="1" applyAlignment="1">
      <alignment horizontal="center" wrapText="1"/>
    </xf>
    <xf numFmtId="0" fontId="2" fillId="0" borderId="1" xfId="0" applyFont="1" applyBorder="1" applyAlignment="1">
      <alignment horizontal="center" vertical="center" wrapText="1"/>
    </xf>
    <xf numFmtId="0" fontId="7" fillId="0" borderId="0" xfId="0" applyFont="1" applyAlignment="1">
      <alignment horizontal="left"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4" fillId="0" borderId="0" xfId="0" applyFont="1" applyAlignment="1">
      <alignment horizontal="left"/>
    </xf>
    <xf numFmtId="0" fontId="0" fillId="0" borderId="0" xfId="0" applyAlignment="1">
      <alignment vertical="center"/>
    </xf>
    <xf numFmtId="0" fontId="12" fillId="0" borderId="0" xfId="0"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vertical="center"/>
    </xf>
    <xf numFmtId="0" fontId="16" fillId="0" borderId="0" xfId="0" applyFont="1" applyAlignment="1">
      <alignment vertical="center"/>
    </xf>
    <xf numFmtId="0" fontId="2" fillId="0" borderId="0" xfId="0" applyFont="1" applyAlignment="1">
      <alignment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xf>
    <xf numFmtId="0" fontId="21"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2" fillId="0" borderId="0" xfId="0" applyFont="1" applyAlignment="1">
      <alignment horizontal="left" vertical="center"/>
    </xf>
    <xf numFmtId="0" fontId="16" fillId="2" borderId="1" xfId="0" applyFont="1" applyFill="1" applyBorder="1" applyAlignment="1">
      <alignment horizontal="center" vertical="center"/>
    </xf>
    <xf numFmtId="0" fontId="16" fillId="2" borderId="13" xfId="0" applyFont="1" applyFill="1" applyBorder="1" applyAlignment="1">
      <alignment horizontal="center" vertical="center"/>
    </xf>
    <xf numFmtId="14" fontId="16" fillId="3" borderId="1" xfId="0" applyNumberFormat="1" applyFont="1" applyFill="1" applyBorder="1" applyAlignment="1">
      <alignment horizontal="center" vertical="center"/>
    </xf>
    <xf numFmtId="0" fontId="0" fillId="2" borderId="0" xfId="0" applyFill="1" applyAlignment="1">
      <alignment vertical="center"/>
    </xf>
    <xf numFmtId="0" fontId="26" fillId="0" borderId="0" xfId="0" applyFont="1" applyAlignment="1">
      <alignment vertical="center"/>
    </xf>
    <xf numFmtId="0" fontId="26" fillId="0" borderId="0" xfId="0" applyFont="1" applyAlignment="1">
      <alignment vertical="center" wrapText="1"/>
    </xf>
    <xf numFmtId="0" fontId="17" fillId="0" borderId="1" xfId="0" applyFont="1" applyBorder="1" applyAlignment="1">
      <alignment horizontal="left" vertical="center" wrapText="1"/>
    </xf>
    <xf numFmtId="0" fontId="19" fillId="0" borderId="1" xfId="0" applyFont="1" applyBorder="1" applyAlignment="1">
      <alignment horizontal="center" vertical="center"/>
    </xf>
    <xf numFmtId="0" fontId="19"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center" vertical="center"/>
    </xf>
    <xf numFmtId="0" fontId="27" fillId="0" borderId="0" xfId="0" applyFont="1" applyAlignment="1">
      <alignment horizontal="center" vertical="center"/>
    </xf>
    <xf numFmtId="0" fontId="28" fillId="0" borderId="0" xfId="0" applyFont="1"/>
    <xf numFmtId="0" fontId="17" fillId="0" borderId="11" xfId="0" applyFont="1" applyBorder="1" applyAlignment="1">
      <alignment horizontal="left" vertical="center" wrapText="1"/>
    </xf>
    <xf numFmtId="0" fontId="16" fillId="0" borderId="1" xfId="0" applyFont="1" applyBorder="1" applyAlignment="1">
      <alignment horizontal="left" vertical="center" wrapText="1"/>
    </xf>
    <xf numFmtId="14" fontId="16" fillId="0" borderId="11" xfId="0" applyNumberFormat="1" applyFont="1" applyBorder="1" applyAlignment="1">
      <alignment horizontal="center" vertical="center"/>
    </xf>
    <xf numFmtId="0" fontId="12" fillId="0" borderId="0" xfId="0" applyFont="1" applyAlignment="1">
      <alignment vertical="center"/>
    </xf>
    <xf numFmtId="0" fontId="2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left" vertical="center" wrapText="1"/>
    </xf>
    <xf numFmtId="14" fontId="2" fillId="0" borderId="12" xfId="0" applyNumberFormat="1" applyFont="1" applyBorder="1" applyAlignment="1">
      <alignment horizontal="center" vertical="center" wrapText="1"/>
    </xf>
    <xf numFmtId="0" fontId="24" fillId="0" borderId="1" xfId="0" applyFont="1" applyBorder="1" applyAlignment="1">
      <alignment horizontal="center" vertical="center"/>
    </xf>
    <xf numFmtId="14" fontId="24" fillId="0" borderId="1" xfId="0" applyNumberFormat="1" applyFont="1" applyBorder="1" applyAlignment="1">
      <alignment horizontal="center" vertical="center"/>
    </xf>
    <xf numFmtId="0" fontId="24" fillId="0" borderId="1" xfId="0" applyFont="1" applyBorder="1" applyAlignment="1">
      <alignment horizontal="center" vertical="center" wrapText="1"/>
    </xf>
    <xf numFmtId="14" fontId="24" fillId="0" borderId="13" xfId="0" applyNumberFormat="1" applyFont="1" applyBorder="1" applyAlignment="1">
      <alignment horizontal="center" vertical="center"/>
    </xf>
    <xf numFmtId="0" fontId="29" fillId="0" borderId="1" xfId="0" applyFont="1" applyBorder="1" applyAlignment="1">
      <alignment horizontal="center" vertical="center"/>
    </xf>
    <xf numFmtId="0" fontId="12" fillId="0" borderId="0" xfId="0" applyFont="1" applyAlignment="1">
      <alignment horizontal="left" vertical="center"/>
    </xf>
    <xf numFmtId="14" fontId="24" fillId="0" borderId="1" xfId="0" applyNumberFormat="1" applyFont="1" applyBorder="1" applyAlignment="1">
      <alignment horizontal="center" vertical="center" wrapText="1"/>
    </xf>
    <xf numFmtId="14" fontId="16" fillId="2" borderId="1" xfId="0" applyNumberFormat="1" applyFont="1" applyFill="1" applyBorder="1" applyAlignment="1">
      <alignment horizontal="center" vertical="center"/>
    </xf>
    <xf numFmtId="0" fontId="16" fillId="2" borderId="1" xfId="0" applyFont="1" applyFill="1" applyBorder="1" applyAlignment="1">
      <alignment horizontal="center" vertical="center" wrapText="1"/>
    </xf>
    <xf numFmtId="0" fontId="16" fillId="4"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vertical="center"/>
    </xf>
    <xf numFmtId="14" fontId="16" fillId="0" borderId="3" xfId="0" applyNumberFormat="1" applyFont="1" applyBorder="1" applyAlignment="1">
      <alignment horizontal="center" vertical="center"/>
    </xf>
    <xf numFmtId="0" fontId="16" fillId="0" borderId="3" xfId="0" applyFont="1" applyBorder="1" applyAlignment="1">
      <alignment horizontal="center" vertical="center"/>
    </xf>
    <xf numFmtId="14" fontId="16" fillId="5" borderId="1" xfId="0" applyNumberFormat="1" applyFont="1" applyFill="1" applyBorder="1" applyAlignment="1">
      <alignment horizontal="center" vertical="center"/>
    </xf>
    <xf numFmtId="14" fontId="16" fillId="0" borderId="12" xfId="0" applyNumberFormat="1" applyFont="1" applyBorder="1" applyAlignment="1">
      <alignment horizontal="center" vertical="center"/>
    </xf>
    <xf numFmtId="0" fontId="24" fillId="3" borderId="1" xfId="0" applyFont="1" applyFill="1" applyBorder="1" applyAlignment="1">
      <alignment horizontal="center" vertical="center"/>
    </xf>
    <xf numFmtId="0" fontId="16" fillId="3" borderId="1" xfId="0" applyFont="1" applyFill="1" applyBorder="1" applyAlignment="1">
      <alignment horizontal="center" vertical="center"/>
    </xf>
    <xf numFmtId="0" fontId="16" fillId="3" borderId="1" xfId="0" applyFont="1" applyFill="1" applyBorder="1" applyAlignment="1">
      <alignment vertical="center" wrapText="1"/>
    </xf>
    <xf numFmtId="0" fontId="24" fillId="0" borderId="1" xfId="0" applyFont="1" applyBorder="1" applyAlignment="1">
      <alignment horizontal="left" vertical="center" wrapText="1"/>
    </xf>
    <xf numFmtId="0" fontId="17" fillId="5" borderId="2" xfId="0" applyFont="1" applyFill="1" applyBorder="1" applyAlignment="1">
      <alignment horizontal="center" vertical="center" wrapText="1"/>
    </xf>
    <xf numFmtId="0" fontId="17" fillId="5" borderId="1" xfId="0" applyFont="1" applyFill="1" applyBorder="1" applyAlignment="1">
      <alignment horizontal="center" vertical="center"/>
    </xf>
    <xf numFmtId="0" fontId="17" fillId="5" borderId="1" xfId="0" applyFont="1" applyFill="1" applyBorder="1" applyAlignment="1">
      <alignment horizontal="center" vertical="center" wrapText="1"/>
    </xf>
    <xf numFmtId="0" fontId="17" fillId="5" borderId="13" xfId="0" applyFont="1" applyFill="1" applyBorder="1" applyAlignment="1">
      <alignment horizontal="center" vertical="center"/>
    </xf>
    <xf numFmtId="0" fontId="17" fillId="5" borderId="11" xfId="0" applyFont="1" applyFill="1" applyBorder="1" applyAlignment="1">
      <alignment horizontal="center" vertical="center" wrapText="1"/>
    </xf>
    <xf numFmtId="0" fontId="16" fillId="0" borderId="2" xfId="0" applyFont="1" applyBorder="1" applyAlignment="1">
      <alignment horizontal="center" vertical="center"/>
    </xf>
    <xf numFmtId="0" fontId="24"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14" fontId="24" fillId="4" borderId="1" xfId="0" applyNumberFormat="1" applyFont="1" applyFill="1" applyBorder="1" applyAlignment="1">
      <alignment horizontal="center" vertical="center" wrapText="1"/>
    </xf>
    <xf numFmtId="14" fontId="24" fillId="4" borderId="1" xfId="0" applyNumberFormat="1" applyFont="1" applyFill="1" applyBorder="1" applyAlignment="1">
      <alignment horizontal="center" vertical="center"/>
    </xf>
    <xf numFmtId="0" fontId="24" fillId="4" borderId="1" xfId="0" applyFont="1" applyFill="1" applyBorder="1" applyAlignment="1">
      <alignment horizontal="center" vertical="center" wrapText="1"/>
    </xf>
    <xf numFmtId="0" fontId="0" fillId="4" borderId="0" xfId="0" applyFill="1" applyAlignment="1">
      <alignment vertical="center"/>
    </xf>
    <xf numFmtId="14" fontId="24" fillId="0" borderId="11" xfId="0" applyNumberFormat="1" applyFont="1" applyBorder="1" applyAlignment="1">
      <alignment horizontal="center" vertical="center"/>
    </xf>
    <xf numFmtId="0" fontId="0" fillId="0" borderId="22" xfId="0" applyBorder="1" applyAlignment="1">
      <alignment vertical="center"/>
    </xf>
    <xf numFmtId="14" fontId="16" fillId="0" borderId="2" xfId="0" applyNumberFormat="1" applyFont="1" applyBorder="1" applyAlignment="1">
      <alignment horizontal="center" vertical="center"/>
    </xf>
    <xf numFmtId="14" fontId="16" fillId="0" borderId="24" xfId="0" applyNumberFormat="1" applyFont="1" applyBorder="1" applyAlignment="1">
      <alignment horizontal="center" vertical="center"/>
    </xf>
    <xf numFmtId="14" fontId="16" fillId="0" borderId="23" xfId="0" applyNumberFormat="1" applyFont="1" applyBorder="1" applyAlignment="1">
      <alignment horizontal="center" vertical="center"/>
    </xf>
    <xf numFmtId="14" fontId="16" fillId="2" borderId="23" xfId="0" applyNumberFormat="1" applyFont="1" applyFill="1" applyBorder="1" applyAlignment="1">
      <alignment horizontal="center" vertical="center"/>
    </xf>
    <xf numFmtId="0" fontId="16" fillId="2" borderId="23" xfId="0" applyFont="1" applyFill="1" applyBorder="1" applyAlignment="1">
      <alignment horizontal="center" vertical="center"/>
    </xf>
    <xf numFmtId="14" fontId="16" fillId="2" borderId="25" xfId="0" applyNumberFormat="1" applyFont="1" applyFill="1" applyBorder="1" applyAlignment="1">
      <alignment horizontal="center" vertical="center"/>
    </xf>
    <xf numFmtId="14" fontId="16" fillId="0" borderId="28" xfId="0" applyNumberFormat="1" applyFont="1" applyBorder="1" applyAlignment="1">
      <alignment horizontal="center" vertical="center"/>
    </xf>
    <xf numFmtId="0" fontId="16" fillId="0" borderId="28" xfId="0" applyFont="1" applyBorder="1" applyAlignment="1">
      <alignment horizontal="center" vertical="center"/>
    </xf>
    <xf numFmtId="14" fontId="16" fillId="0" borderId="29" xfId="0" applyNumberFormat="1" applyFont="1" applyBorder="1" applyAlignment="1">
      <alignment horizontal="center" vertical="center"/>
    </xf>
    <xf numFmtId="0" fontId="19" fillId="0" borderId="26" xfId="0" applyFont="1" applyBorder="1" applyAlignment="1">
      <alignment horizontal="center" vertical="center"/>
    </xf>
    <xf numFmtId="0" fontId="0" fillId="2" borderId="23" xfId="0" applyFill="1" applyBorder="1" applyAlignment="1">
      <alignment vertical="center"/>
    </xf>
    <xf numFmtId="0" fontId="0" fillId="2" borderId="25" xfId="0" applyFill="1" applyBorder="1" applyAlignment="1">
      <alignment vertical="center"/>
    </xf>
    <xf numFmtId="14" fontId="16" fillId="2" borderId="28" xfId="0" applyNumberFormat="1" applyFont="1" applyFill="1" applyBorder="1" applyAlignment="1">
      <alignment horizontal="center" vertical="center"/>
    </xf>
    <xf numFmtId="0" fontId="16" fillId="2" borderId="28" xfId="0" applyFont="1" applyFill="1" applyBorder="1" applyAlignment="1">
      <alignment horizontal="center" vertical="center"/>
    </xf>
    <xf numFmtId="0" fontId="0" fillId="2" borderId="36" xfId="0" applyFill="1" applyBorder="1" applyAlignment="1">
      <alignment vertical="center"/>
    </xf>
    <xf numFmtId="14" fontId="16" fillId="2" borderId="2" xfId="0" applyNumberFormat="1" applyFont="1" applyFill="1" applyBorder="1" applyAlignment="1">
      <alignment horizontal="center" vertical="center"/>
    </xf>
    <xf numFmtId="0" fontId="16" fillId="2" borderId="2" xfId="0" applyFont="1" applyFill="1" applyBorder="1" applyAlignment="1">
      <alignment horizontal="center" vertical="center"/>
    </xf>
    <xf numFmtId="14" fontId="16" fillId="0" borderId="37" xfId="0" applyNumberFormat="1" applyFont="1" applyBorder="1" applyAlignment="1">
      <alignment horizontal="center" vertical="center"/>
    </xf>
    <xf numFmtId="0" fontId="16" fillId="0" borderId="11" xfId="0" applyFont="1" applyBorder="1" applyAlignment="1">
      <alignment horizontal="left" vertical="center" wrapText="1"/>
    </xf>
    <xf numFmtId="0" fontId="16" fillId="3" borderId="20" xfId="0" applyFont="1" applyFill="1" applyBorder="1" applyAlignment="1">
      <alignment horizontal="center" vertical="center"/>
    </xf>
    <xf numFmtId="14" fontId="24" fillId="4" borderId="14" xfId="0" applyNumberFormat="1" applyFont="1" applyFill="1" applyBorder="1" applyAlignment="1">
      <alignment horizontal="center" vertical="center" wrapText="1"/>
    </xf>
    <xf numFmtId="0" fontId="16" fillId="0" borderId="41" xfId="0" applyFont="1" applyBorder="1" applyAlignment="1">
      <alignment horizontal="center" vertical="center"/>
    </xf>
    <xf numFmtId="14" fontId="16" fillId="0" borderId="40" xfId="0" applyNumberFormat="1" applyFont="1" applyBorder="1" applyAlignment="1">
      <alignment horizontal="center" vertical="center"/>
    </xf>
    <xf numFmtId="14" fontId="16" fillId="0" borderId="39" xfId="0" applyNumberFormat="1" applyFont="1" applyBorder="1" applyAlignment="1">
      <alignment horizontal="center" vertical="center"/>
    </xf>
    <xf numFmtId="14" fontId="16" fillId="0" borderId="38" xfId="0" applyNumberFormat="1" applyFont="1" applyBorder="1" applyAlignment="1">
      <alignment horizontal="center" vertical="center"/>
    </xf>
    <xf numFmtId="14" fontId="16" fillId="0" borderId="41" xfId="0" applyNumberFormat="1" applyFont="1" applyBorder="1" applyAlignment="1">
      <alignment horizontal="center" vertical="center"/>
    </xf>
    <xf numFmtId="14" fontId="16" fillId="2" borderId="39" xfId="0" applyNumberFormat="1" applyFont="1" applyFill="1" applyBorder="1" applyAlignment="1">
      <alignment horizontal="center" vertical="center"/>
    </xf>
    <xf numFmtId="14" fontId="16" fillId="2" borderId="38" xfId="0" applyNumberFormat="1" applyFont="1" applyFill="1" applyBorder="1" applyAlignment="1">
      <alignment horizontal="center" vertical="center"/>
    </xf>
    <xf numFmtId="14" fontId="16" fillId="2" borderId="41" xfId="0" applyNumberFormat="1" applyFont="1" applyFill="1" applyBorder="1" applyAlignment="1">
      <alignment horizontal="center" vertical="center"/>
    </xf>
    <xf numFmtId="0" fontId="16" fillId="2" borderId="41" xfId="0" applyFont="1" applyFill="1" applyBorder="1" applyAlignment="1">
      <alignment horizontal="center" vertical="center"/>
    </xf>
    <xf numFmtId="14" fontId="16" fillId="2" borderId="40" xfId="0" applyNumberFormat="1" applyFont="1" applyFill="1" applyBorder="1" applyAlignment="1">
      <alignment horizontal="center" vertical="center"/>
    </xf>
    <xf numFmtId="0" fontId="16" fillId="6" borderId="1" xfId="0" applyFont="1" applyFill="1" applyBorder="1" applyAlignment="1">
      <alignment horizontal="left" vertical="center" wrapText="1"/>
    </xf>
    <xf numFmtId="0" fontId="16" fillId="6" borderId="1" xfId="0" applyFont="1" applyFill="1" applyBorder="1" applyAlignment="1">
      <alignment vertical="center" wrapText="1"/>
    </xf>
    <xf numFmtId="0" fontId="16" fillId="0" borderId="21" xfId="0" applyFont="1" applyBorder="1" applyAlignment="1">
      <alignment horizontal="center" vertical="center"/>
    </xf>
    <xf numFmtId="14" fontId="16" fillId="0" borderId="21" xfId="0" applyNumberFormat="1" applyFont="1" applyBorder="1" applyAlignment="1">
      <alignment horizontal="center" vertical="center"/>
    </xf>
    <xf numFmtId="14" fontId="16" fillId="2" borderId="21" xfId="0" applyNumberFormat="1" applyFont="1" applyFill="1" applyBorder="1" applyAlignment="1">
      <alignment horizontal="center" vertical="center"/>
    </xf>
    <xf numFmtId="0" fontId="16" fillId="2" borderId="21" xfId="0" applyFont="1" applyFill="1" applyBorder="1" applyAlignment="1">
      <alignment horizontal="center" vertical="center"/>
    </xf>
    <xf numFmtId="14" fontId="16" fillId="2" borderId="42" xfId="0" applyNumberFormat="1" applyFont="1" applyFill="1" applyBorder="1" applyAlignment="1">
      <alignment horizontal="center" vertical="center"/>
    </xf>
    <xf numFmtId="0" fontId="16" fillId="6" borderId="11" xfId="0" applyFont="1" applyFill="1" applyBorder="1" applyAlignment="1">
      <alignment vertical="center" wrapText="1"/>
    </xf>
    <xf numFmtId="0" fontId="16" fillId="0" borderId="20" xfId="0" applyFont="1" applyBorder="1" applyAlignment="1">
      <alignment horizontal="center" vertical="center"/>
    </xf>
    <xf numFmtId="14" fontId="16" fillId="0" borderId="20" xfId="0" applyNumberFormat="1" applyFont="1" applyBorder="1" applyAlignment="1">
      <alignment horizontal="center" vertical="center"/>
    </xf>
    <xf numFmtId="0" fontId="16" fillId="3" borderId="1" xfId="0" applyFont="1" applyFill="1" applyBorder="1" applyAlignment="1">
      <alignment horizontal="center" vertical="center" wrapText="1"/>
    </xf>
    <xf numFmtId="0" fontId="16" fillId="0" borderId="20" xfId="0" applyFont="1" applyBorder="1" applyAlignment="1">
      <alignment horizontal="center" vertical="center" wrapText="1"/>
    </xf>
    <xf numFmtId="0" fontId="16" fillId="3" borderId="20" xfId="0" applyFont="1" applyFill="1" applyBorder="1" applyAlignment="1">
      <alignment horizontal="center" vertical="center" wrapText="1"/>
    </xf>
    <xf numFmtId="0" fontId="31" fillId="0" borderId="1" xfId="0" applyFont="1" applyBorder="1" applyAlignment="1">
      <alignment horizontal="center" vertical="center"/>
    </xf>
    <xf numFmtId="14" fontId="16" fillId="7" borderId="23" xfId="0" applyNumberFormat="1" applyFont="1" applyFill="1" applyBorder="1" applyAlignment="1">
      <alignment horizontal="center" vertical="center"/>
    </xf>
    <xf numFmtId="14" fontId="16" fillId="7" borderId="28" xfId="0" applyNumberFormat="1" applyFont="1" applyFill="1" applyBorder="1" applyAlignment="1">
      <alignment horizontal="center" vertical="center"/>
    </xf>
    <xf numFmtId="14" fontId="16" fillId="8" borderId="23" xfId="0" applyNumberFormat="1" applyFont="1" applyFill="1" applyBorder="1" applyAlignment="1">
      <alignment horizontal="center" vertical="center"/>
    </xf>
    <xf numFmtId="14" fontId="16" fillId="8" borderId="28" xfId="0" applyNumberFormat="1" applyFont="1" applyFill="1" applyBorder="1" applyAlignment="1">
      <alignment horizontal="center" vertical="center"/>
    </xf>
    <xf numFmtId="0" fontId="16" fillId="8" borderId="28" xfId="0" applyFont="1" applyFill="1" applyBorder="1" applyAlignment="1">
      <alignment horizontal="center" vertical="center"/>
    </xf>
    <xf numFmtId="14" fontId="16" fillId="8" borderId="29" xfId="0" applyNumberFormat="1" applyFont="1" applyFill="1" applyBorder="1" applyAlignment="1">
      <alignment horizontal="center" vertical="center"/>
    </xf>
    <xf numFmtId="14" fontId="16" fillId="9" borderId="23" xfId="0" applyNumberFormat="1" applyFont="1" applyFill="1" applyBorder="1" applyAlignment="1">
      <alignment horizontal="center" vertical="center"/>
    </xf>
    <xf numFmtId="14" fontId="16" fillId="9" borderId="28"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10" borderId="1" xfId="0" applyFont="1" applyFill="1" applyBorder="1" applyAlignment="1">
      <alignment horizontal="center" vertical="center"/>
    </xf>
    <xf numFmtId="0" fontId="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14" fontId="2" fillId="10" borderId="1" xfId="0" applyNumberFormat="1" applyFont="1" applyFill="1" applyBorder="1" applyAlignment="1">
      <alignment horizontal="center" vertical="center" wrapText="1"/>
    </xf>
    <xf numFmtId="0" fontId="3" fillId="11" borderId="1" xfId="0" applyFont="1" applyFill="1" applyBorder="1" applyAlignment="1">
      <alignment horizontal="center" vertical="center"/>
    </xf>
    <xf numFmtId="0" fontId="8" fillId="11" borderId="1" xfId="0" applyFont="1" applyFill="1" applyBorder="1" applyAlignment="1">
      <alignment horizontal="center" vertical="center" wrapText="1"/>
    </xf>
    <xf numFmtId="0" fontId="8" fillId="11" borderId="1" xfId="0" applyFont="1" applyFill="1" applyBorder="1" applyAlignment="1">
      <alignment horizontal="center" vertical="center"/>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vertical="center"/>
    </xf>
    <xf numFmtId="14" fontId="2" fillId="11" borderId="1" xfId="0" applyNumberFormat="1"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14" fontId="2" fillId="8" borderId="1" xfId="0" applyNumberFormat="1" applyFont="1" applyFill="1" applyBorder="1" applyAlignment="1">
      <alignment horizontal="center" vertical="center"/>
    </xf>
    <xf numFmtId="0" fontId="3"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165" fontId="2" fillId="0" borderId="0" xfId="1" applyNumberFormat="1" applyFont="1" applyAlignment="1">
      <alignment horizontal="center" vertical="center"/>
    </xf>
    <xf numFmtId="0" fontId="2" fillId="0" borderId="0" xfId="0" applyFont="1" applyAlignment="1">
      <alignment horizontal="center" vertical="center" wrapText="1"/>
    </xf>
    <xf numFmtId="165" fontId="2" fillId="0" borderId="0" xfId="1" applyNumberFormat="1" applyFont="1"/>
    <xf numFmtId="165" fontId="2" fillId="0" borderId="0" xfId="0" applyNumberFormat="1" applyFont="1"/>
    <xf numFmtId="0" fontId="2" fillId="0" borderId="0" xfId="0" applyFont="1" applyAlignment="1">
      <alignment horizontal="left" vertical="top" wrapText="1"/>
    </xf>
    <xf numFmtId="1" fontId="2" fillId="0" borderId="0" xfId="0" applyNumberFormat="1" applyFont="1"/>
    <xf numFmtId="1" fontId="2" fillId="12" borderId="1" xfId="0" applyNumberFormat="1" applyFont="1" applyFill="1" applyBorder="1" applyAlignment="1">
      <alignment horizontal="center" vertical="center" wrapText="1"/>
    </xf>
    <xf numFmtId="1" fontId="2" fillId="0" borderId="1" xfId="0" applyNumberFormat="1" applyFont="1" applyBorder="1" applyAlignment="1">
      <alignment horizontal="center" vertical="center" wrapText="1"/>
    </xf>
    <xf numFmtId="1" fontId="2" fillId="11" borderId="1" xfId="0" applyNumberFormat="1" applyFont="1" applyFill="1" applyBorder="1" applyAlignment="1">
      <alignment horizontal="center" vertical="center" wrapText="1"/>
    </xf>
    <xf numFmtId="1" fontId="2" fillId="10" borderId="1" xfId="0" applyNumberFormat="1" applyFont="1" applyFill="1" applyBorder="1" applyAlignment="1">
      <alignment horizontal="center" vertical="center" wrapText="1"/>
    </xf>
    <xf numFmtId="0" fontId="32" fillId="11" borderId="1" xfId="0" applyFont="1" applyFill="1" applyBorder="1" applyAlignment="1">
      <alignment horizontal="center" vertical="center" wrapText="1"/>
    </xf>
    <xf numFmtId="14" fontId="0" fillId="0" borderId="0" xfId="1" applyNumberFormat="1" applyFont="1"/>
    <xf numFmtId="14" fontId="2" fillId="12" borderId="1" xfId="1" applyNumberFormat="1" applyFont="1" applyFill="1" applyBorder="1" applyAlignment="1">
      <alignment horizontal="center" vertical="center" wrapText="1"/>
    </xf>
    <xf numFmtId="14" fontId="2" fillId="0" borderId="1" xfId="1" applyNumberFormat="1" applyFont="1" applyBorder="1" applyAlignment="1">
      <alignment horizontal="center" vertical="center"/>
    </xf>
    <xf numFmtId="14" fontId="8" fillId="11" borderId="1" xfId="1" applyNumberFormat="1" applyFont="1" applyFill="1" applyBorder="1" applyAlignment="1">
      <alignment horizontal="center" vertical="center" wrapText="1"/>
    </xf>
    <xf numFmtId="14" fontId="2" fillId="8" borderId="1" xfId="1" applyNumberFormat="1" applyFont="1" applyFill="1" applyBorder="1" applyAlignment="1">
      <alignment horizontal="center" vertical="center"/>
    </xf>
    <xf numFmtId="0" fontId="3" fillId="0" borderId="0" xfId="0" applyFont="1" applyAlignment="1">
      <alignment horizontal="center"/>
    </xf>
    <xf numFmtId="0" fontId="3" fillId="0" borderId="0" xfId="0" applyFont="1" applyAlignment="1">
      <alignment horizontal="left" vertical="center" wrapText="1"/>
    </xf>
    <xf numFmtId="0" fontId="26" fillId="0" borderId="0" xfId="0" applyFont="1" applyAlignment="1">
      <alignment horizontal="center" vertical="center" wrapText="1"/>
    </xf>
    <xf numFmtId="0" fontId="26" fillId="0" borderId="0" xfId="0" applyFont="1" applyAlignment="1">
      <alignment horizontal="left" vertical="center"/>
    </xf>
    <xf numFmtId="0" fontId="26" fillId="0" borderId="0" xfId="0" applyFont="1" applyAlignment="1">
      <alignment horizontal="left" vertical="center" wrapText="1"/>
    </xf>
    <xf numFmtId="1" fontId="8" fillId="0" borderId="1" xfId="0" applyNumberFormat="1" applyFont="1" applyBorder="1" applyAlignment="1">
      <alignment horizontal="center" vertical="center" wrapText="1"/>
    </xf>
    <xf numFmtId="165" fontId="2" fillId="0" borderId="0" xfId="1" applyNumberFormat="1" applyFont="1" applyBorder="1" applyAlignment="1">
      <alignment horizontal="center" vertical="center"/>
    </xf>
    <xf numFmtId="1"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0" xfId="0" applyFont="1" applyAlignment="1">
      <alignment horizontal="left" vertical="top" wrapText="1"/>
    </xf>
    <xf numFmtId="0" fontId="10" fillId="0" borderId="11" xfId="0" applyFont="1" applyBorder="1" applyAlignment="1">
      <alignment horizontal="left" vertical="center"/>
    </xf>
    <xf numFmtId="0" fontId="10" fillId="0" borderId="20" xfId="0" applyFont="1" applyBorder="1" applyAlignment="1">
      <alignment horizontal="left" vertical="center"/>
    </xf>
    <xf numFmtId="0" fontId="10" fillId="0" borderId="12" xfId="0" applyFont="1" applyBorder="1" applyAlignment="1">
      <alignment horizontal="left" vertical="center"/>
    </xf>
    <xf numFmtId="0" fontId="33" fillId="0" borderId="0" xfId="0" applyFont="1" applyAlignment="1">
      <alignment horizont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7" fillId="0" borderId="0" xfId="0" applyFont="1" applyAlignment="1">
      <alignment horizontal="left"/>
    </xf>
    <xf numFmtId="0" fontId="12" fillId="0" borderId="0" xfId="0" applyFont="1" applyAlignment="1">
      <alignment horizontal="center" vertical="center"/>
    </xf>
    <xf numFmtId="0" fontId="17" fillId="5" borderId="4"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8" fillId="5" borderId="3" xfId="0" applyFont="1" applyFill="1" applyBorder="1" applyAlignment="1">
      <alignment horizontal="center" vertical="center"/>
    </xf>
    <xf numFmtId="0" fontId="17" fillId="5" borderId="3"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13" fillId="0" borderId="15" xfId="0" applyFont="1" applyBorder="1" applyAlignment="1">
      <alignment horizontal="left" vertical="center"/>
    </xf>
    <xf numFmtId="0" fontId="13" fillId="0" borderId="16" xfId="0" applyFont="1" applyBorder="1" applyAlignment="1">
      <alignment horizontal="left" vertical="center"/>
    </xf>
    <xf numFmtId="0" fontId="13" fillId="0" borderId="17" xfId="0" applyFont="1" applyBorder="1" applyAlignment="1">
      <alignment horizontal="left" vertical="center"/>
    </xf>
    <xf numFmtId="0" fontId="22" fillId="0" borderId="0" xfId="0" applyFont="1" applyAlignment="1">
      <alignment horizontal="left" vertical="center" wrapText="1"/>
    </xf>
    <xf numFmtId="0" fontId="17" fillId="5" borderId="8" xfId="0" applyFont="1" applyFill="1" applyBorder="1" applyAlignment="1">
      <alignment horizontal="center" vertical="center" wrapText="1"/>
    </xf>
    <xf numFmtId="0" fontId="29" fillId="0" borderId="2" xfId="0" applyFont="1" applyBorder="1" applyAlignment="1">
      <alignment horizontal="center" vertical="center"/>
    </xf>
    <xf numFmtId="0" fontId="29" fillId="0" borderId="21" xfId="0" applyFont="1" applyBorder="1" applyAlignment="1">
      <alignment horizontal="center" vertical="center"/>
    </xf>
    <xf numFmtId="0" fontId="29" fillId="0" borderId="3" xfId="0" applyFont="1" applyBorder="1" applyAlignment="1">
      <alignment horizontal="center" vertical="center"/>
    </xf>
    <xf numFmtId="0" fontId="24" fillId="0" borderId="2" xfId="0" applyFont="1" applyBorder="1" applyAlignment="1">
      <alignment horizontal="center" vertical="center"/>
    </xf>
    <xf numFmtId="0" fontId="24" fillId="0" borderId="21" xfId="0" applyFont="1" applyBorder="1" applyAlignment="1">
      <alignment horizontal="center" vertical="center"/>
    </xf>
    <xf numFmtId="0" fontId="24" fillId="0" borderId="3" xfId="0" applyFont="1" applyBorder="1" applyAlignment="1">
      <alignment horizontal="center" vertical="center"/>
    </xf>
    <xf numFmtId="0" fontId="24" fillId="0" borderId="2" xfId="0" applyFont="1" applyBorder="1" applyAlignment="1">
      <alignment horizontal="left" vertical="center" wrapText="1"/>
    </xf>
    <xf numFmtId="0" fontId="24" fillId="0" borderId="21" xfId="0" applyFont="1" applyBorder="1" applyAlignment="1">
      <alignment horizontal="left" vertical="center" wrapText="1"/>
    </xf>
    <xf numFmtId="0" fontId="24" fillId="0" borderId="3" xfId="0" applyFont="1" applyBorder="1" applyAlignment="1">
      <alignment horizontal="left" vertical="center" wrapText="1"/>
    </xf>
    <xf numFmtId="0" fontId="24" fillId="0" borderId="2"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3" xfId="0" applyFont="1" applyBorder="1" applyAlignment="1">
      <alignment horizontal="center" vertical="center" wrapText="1"/>
    </xf>
    <xf numFmtId="0" fontId="24" fillId="4" borderId="2" xfId="0" applyFont="1" applyFill="1" applyBorder="1" applyAlignment="1">
      <alignment horizontal="center" vertical="center" wrapText="1"/>
    </xf>
    <xf numFmtId="0" fontId="24" fillId="4" borderId="21" xfId="0" applyFont="1" applyFill="1" applyBorder="1" applyAlignment="1">
      <alignment horizontal="center" vertical="center" wrapText="1"/>
    </xf>
    <xf numFmtId="0" fontId="24" fillId="4" borderId="3" xfId="0" applyFont="1" applyFill="1" applyBorder="1" applyAlignment="1">
      <alignment horizontal="center" vertical="center" wrapText="1"/>
    </xf>
    <xf numFmtId="14" fontId="24" fillId="4" borderId="2" xfId="0" applyNumberFormat="1" applyFont="1" applyFill="1" applyBorder="1" applyAlignment="1">
      <alignment horizontal="center" vertical="center"/>
    </xf>
    <xf numFmtId="14" fontId="24" fillId="4" borderId="21" xfId="0" applyNumberFormat="1" applyFont="1" applyFill="1" applyBorder="1" applyAlignment="1">
      <alignment horizontal="center" vertical="center"/>
    </xf>
    <xf numFmtId="14" fontId="24" fillId="4" borderId="3" xfId="0" applyNumberFormat="1" applyFont="1" applyFill="1" applyBorder="1" applyAlignment="1">
      <alignment horizontal="center" vertical="center"/>
    </xf>
    <xf numFmtId="0" fontId="17" fillId="0" borderId="4" xfId="0" applyFont="1" applyBorder="1" applyAlignment="1">
      <alignment horizontal="center" vertical="center" wrapText="1"/>
    </xf>
    <xf numFmtId="0" fontId="17" fillId="0" borderId="26" xfId="0" applyFont="1" applyBorder="1" applyAlignment="1">
      <alignment horizontal="center" vertical="center" wrapText="1"/>
    </xf>
    <xf numFmtId="0" fontId="16" fillId="3" borderId="2" xfId="0" applyFont="1" applyFill="1" applyBorder="1" applyAlignment="1">
      <alignment horizontal="center" vertical="center"/>
    </xf>
    <xf numFmtId="0" fontId="16" fillId="3" borderId="21"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21" xfId="0" applyFont="1" applyBorder="1" applyAlignment="1">
      <alignment horizontal="center" vertical="center" wrapText="1"/>
    </xf>
    <xf numFmtId="0" fontId="16" fillId="3" borderId="2" xfId="0" applyFont="1" applyFill="1" applyBorder="1" applyAlignment="1">
      <alignment vertical="center" wrapText="1"/>
    </xf>
    <xf numFmtId="0" fontId="16" fillId="3" borderId="21" xfId="0" applyFont="1" applyFill="1" applyBorder="1" applyAlignment="1">
      <alignment vertical="center" wrapText="1"/>
    </xf>
    <xf numFmtId="0" fontId="16" fillId="3" borderId="5" xfId="0" applyFont="1" applyFill="1" applyBorder="1" applyAlignment="1">
      <alignment vertical="center" wrapText="1"/>
    </xf>
    <xf numFmtId="0" fontId="16" fillId="3" borderId="27" xfId="0" applyFont="1" applyFill="1" applyBorder="1" applyAlignment="1">
      <alignment vertical="center" wrapText="1"/>
    </xf>
    <xf numFmtId="0" fontId="16" fillId="9" borderId="5" xfId="0" applyFont="1" applyFill="1" applyBorder="1" applyAlignment="1">
      <alignment vertical="center" wrapText="1"/>
    </xf>
    <xf numFmtId="0" fontId="16" fillId="9" borderId="27" xfId="0" applyFont="1" applyFill="1" applyBorder="1" applyAlignment="1">
      <alignment vertical="center" wrapText="1"/>
    </xf>
    <xf numFmtId="0" fontId="17" fillId="5" borderId="11" xfId="0" applyFont="1" applyFill="1" applyBorder="1" applyAlignment="1">
      <alignment horizontal="center" vertical="center" wrapText="1"/>
    </xf>
    <xf numFmtId="0" fontId="8" fillId="5" borderId="12" xfId="0" applyFont="1" applyFill="1" applyBorder="1" applyAlignment="1">
      <alignment vertical="center" wrapText="1"/>
    </xf>
    <xf numFmtId="0" fontId="17" fillId="5" borderId="18"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6" fillId="0" borderId="2" xfId="0" applyFont="1" applyBorder="1" applyAlignment="1">
      <alignment horizontal="center" vertical="center"/>
    </xf>
    <xf numFmtId="0" fontId="16" fillId="0" borderId="21" xfId="0" applyFont="1" applyBorder="1" applyAlignment="1">
      <alignment horizontal="center" vertical="center"/>
    </xf>
    <xf numFmtId="0" fontId="16" fillId="3" borderId="5" xfId="0" applyFont="1" applyFill="1" applyBorder="1" applyAlignment="1">
      <alignment horizontal="left" vertical="center" wrapText="1"/>
    </xf>
    <xf numFmtId="0" fontId="16" fillId="3" borderId="27" xfId="0" applyFont="1" applyFill="1" applyBorder="1" applyAlignment="1">
      <alignment horizontal="left" vertical="center" wrapText="1"/>
    </xf>
    <xf numFmtId="0" fontId="16" fillId="8" borderId="5" xfId="0" applyFont="1" applyFill="1" applyBorder="1" applyAlignment="1">
      <alignment vertical="center" wrapText="1"/>
    </xf>
    <xf numFmtId="0" fontId="16" fillId="8" borderId="27" xfId="0" applyFont="1" applyFill="1" applyBorder="1" applyAlignment="1">
      <alignment vertical="center" wrapText="1"/>
    </xf>
    <xf numFmtId="0" fontId="16" fillId="0" borderId="5" xfId="0" applyFont="1" applyBorder="1" applyAlignment="1">
      <alignment vertical="center" wrapText="1"/>
    </xf>
    <xf numFmtId="0" fontId="16" fillId="0" borderId="27" xfId="0" applyFont="1" applyBorder="1" applyAlignment="1">
      <alignment vertical="center" wrapText="1"/>
    </xf>
    <xf numFmtId="0" fontId="16" fillId="0" borderId="21" xfId="0" applyFont="1" applyBorder="1" applyAlignment="1">
      <alignment vertical="center" wrapText="1"/>
    </xf>
    <xf numFmtId="0" fontId="16" fillId="7" borderId="5" xfId="0" applyFont="1" applyFill="1" applyBorder="1" applyAlignment="1">
      <alignment vertical="center" wrapText="1"/>
    </xf>
    <xf numFmtId="0" fontId="16" fillId="7" borderId="27" xfId="0" applyFont="1" applyFill="1" applyBorder="1" applyAlignment="1">
      <alignment vertical="center" wrapText="1"/>
    </xf>
    <xf numFmtId="0" fontId="16" fillId="0" borderId="5" xfId="0" applyFont="1" applyBorder="1" applyAlignment="1">
      <alignment horizontal="center" vertical="center"/>
    </xf>
    <xf numFmtId="0" fontId="16" fillId="0" borderId="27" xfId="0" applyFont="1" applyBorder="1" applyAlignment="1">
      <alignment horizontal="center" vertical="center"/>
    </xf>
    <xf numFmtId="0" fontId="22" fillId="0" borderId="0" xfId="0" applyFont="1" applyAlignment="1">
      <alignment horizontal="left" vertical="center"/>
    </xf>
    <xf numFmtId="0" fontId="13" fillId="0" borderId="33" xfId="0" applyFont="1" applyBorder="1" applyAlignment="1">
      <alignment horizontal="left" vertical="center"/>
    </xf>
    <xf numFmtId="0" fontId="20" fillId="0" borderId="34" xfId="0" applyFont="1" applyBorder="1" applyAlignment="1">
      <alignment horizontal="left" vertical="center"/>
    </xf>
    <xf numFmtId="0" fontId="20" fillId="0" borderId="35" xfId="0" applyFont="1" applyBorder="1" applyAlignment="1">
      <alignment horizontal="left" vertical="center"/>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6" fillId="0" borderId="4" xfId="0" applyFont="1" applyBorder="1" applyAlignment="1">
      <alignment horizontal="center" vertical="center"/>
    </xf>
    <xf numFmtId="0" fontId="16" fillId="0" borderId="26" xfId="0" applyFont="1" applyBorder="1" applyAlignment="1">
      <alignment horizontal="center" vertical="center"/>
    </xf>
    <xf numFmtId="0" fontId="17" fillId="0" borderId="30" xfId="0" applyFont="1" applyBorder="1" applyAlignment="1">
      <alignment horizontal="center" vertical="center" wrapText="1"/>
    </xf>
    <xf numFmtId="0" fontId="16" fillId="7" borderId="5" xfId="0" applyFont="1" applyFill="1" applyBorder="1" applyAlignment="1">
      <alignment horizontal="center" vertical="center"/>
    </xf>
    <xf numFmtId="0" fontId="16" fillId="7" borderId="27" xfId="0" applyFont="1" applyFill="1" applyBorder="1" applyAlignment="1">
      <alignment horizontal="center" vertical="center"/>
    </xf>
    <xf numFmtId="0" fontId="16" fillId="9" borderId="5" xfId="0" applyFont="1" applyFill="1" applyBorder="1" applyAlignment="1">
      <alignment horizontal="center" vertical="center"/>
    </xf>
    <xf numFmtId="0" fontId="16" fillId="9" borderId="27" xfId="0" applyFont="1" applyFill="1" applyBorder="1" applyAlignment="1">
      <alignment horizontal="center" vertical="center"/>
    </xf>
    <xf numFmtId="0" fontId="17" fillId="7" borderId="31" xfId="0" applyFont="1" applyFill="1" applyBorder="1" applyAlignment="1">
      <alignment horizontal="center" vertical="center" wrapText="1"/>
    </xf>
    <xf numFmtId="0" fontId="17" fillId="7" borderId="32" xfId="0" applyFont="1" applyFill="1" applyBorder="1" applyAlignment="1">
      <alignment horizontal="center" vertical="center" wrapText="1"/>
    </xf>
    <xf numFmtId="0" fontId="17" fillId="9" borderId="30"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8" borderId="5" xfId="0" applyFont="1" applyFill="1" applyBorder="1" applyAlignment="1">
      <alignment horizontal="center" vertical="center"/>
    </xf>
    <xf numFmtId="0" fontId="16" fillId="8" borderId="27"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27" xfId="0" applyFont="1" applyFill="1" applyBorder="1" applyAlignment="1">
      <alignment horizontal="center" vertical="center"/>
    </xf>
    <xf numFmtId="0" fontId="16" fillId="0" borderId="5"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8" xfId="0" applyFont="1" applyBorder="1" applyAlignment="1">
      <alignment horizontal="center" vertical="center" wrapText="1"/>
    </xf>
    <xf numFmtId="0" fontId="16" fillId="8" borderId="23"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16" fillId="7" borderId="23" xfId="0" applyFont="1" applyFill="1" applyBorder="1" applyAlignment="1">
      <alignment horizontal="center" vertical="center" wrapText="1"/>
    </xf>
    <xf numFmtId="0" fontId="16" fillId="7" borderId="28" xfId="0" applyFont="1" applyFill="1" applyBorder="1" applyAlignment="1">
      <alignment horizontal="center" vertical="center" wrapText="1"/>
    </xf>
    <xf numFmtId="0" fontId="16" fillId="9" borderId="5" xfId="0" applyFont="1" applyFill="1" applyBorder="1" applyAlignment="1">
      <alignment horizontal="center" vertical="center" wrapText="1"/>
    </xf>
    <xf numFmtId="0" fontId="16" fillId="9" borderId="27" xfId="0" applyFont="1" applyFill="1" applyBorder="1" applyAlignment="1">
      <alignment horizontal="center" vertical="center" wrapText="1"/>
    </xf>
    <xf numFmtId="0" fontId="16" fillId="0" borderId="38" xfId="0" applyFont="1" applyBorder="1" applyAlignment="1">
      <alignment horizontal="center" vertical="center"/>
    </xf>
    <xf numFmtId="0" fontId="16" fillId="0" borderId="39" xfId="0" applyFont="1" applyBorder="1" applyAlignment="1">
      <alignment vertical="center" wrapText="1"/>
    </xf>
    <xf numFmtId="0" fontId="16" fillId="0" borderId="41" xfId="0" applyFont="1" applyBorder="1" applyAlignment="1">
      <alignment horizontal="center" vertical="center" wrapText="1"/>
    </xf>
    <xf numFmtId="0" fontId="16" fillId="3" borderId="38" xfId="0" applyFont="1" applyFill="1" applyBorder="1" applyAlignment="1">
      <alignment horizontal="center" vertical="center"/>
    </xf>
    <xf numFmtId="0" fontId="16" fillId="3" borderId="39" xfId="0" applyFont="1" applyFill="1" applyBorder="1" applyAlignment="1">
      <alignment horizontal="center" vertical="center"/>
    </xf>
    <xf numFmtId="0" fontId="6" fillId="0" borderId="0" xfId="0" applyFont="1" applyAlignment="1">
      <alignment horizontal="center"/>
    </xf>
    <xf numFmtId="0" fontId="7" fillId="0" borderId="0" xfId="0" applyFont="1" applyAlignment="1">
      <alignment horizontal="left" wrapText="1"/>
    </xf>
    <xf numFmtId="0" fontId="10" fillId="0" borderId="0" xfId="0" applyFont="1" applyAlignment="1">
      <alignment horizontal="left" vertical="top" wrapText="1"/>
    </xf>
    <xf numFmtId="0" fontId="7" fillId="0" borderId="0" xfId="0" applyFont="1" applyAlignment="1">
      <alignment horizontal="left" vertical="top" wrapText="1"/>
    </xf>
    <xf numFmtId="14" fontId="3" fillId="5" borderId="1" xfId="1" applyNumberFormat="1" applyFont="1" applyFill="1" applyBorder="1" applyAlignment="1">
      <alignment horizontal="center" vertical="center" wrapText="1"/>
    </xf>
    <xf numFmtId="14" fontId="2" fillId="5" borderId="1" xfId="1" applyNumberFormat="1" applyFont="1" applyFill="1" applyBorder="1" applyAlignment="1">
      <alignment horizontal="center" vertical="center" wrapText="1"/>
    </xf>
    <xf numFmtId="0" fontId="10" fillId="0" borderId="1" xfId="0" applyFont="1" applyBorder="1" applyAlignment="1">
      <alignment horizontal="left" vertical="center"/>
    </xf>
    <xf numFmtId="0" fontId="17" fillId="5" borderId="1" xfId="0" applyFont="1" applyFill="1" applyBorder="1" applyAlignment="1">
      <alignment horizontal="center" vertical="center" wrapText="1"/>
    </xf>
    <xf numFmtId="0" fontId="30" fillId="0" borderId="0" xfId="0" applyFont="1" applyAlignment="1">
      <alignment horizontal="center" vertical="center"/>
    </xf>
    <xf numFmtId="0" fontId="30" fillId="0" borderId="0" xfId="0" applyFont="1" applyAlignment="1">
      <alignment horizontal="left" vertical="center" wrapText="1"/>
    </xf>
    <xf numFmtId="0" fontId="19" fillId="5" borderId="1"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0" borderId="0" xfId="0" applyFont="1" applyAlignment="1">
      <alignment horizontal="center" vertical="center" wrapText="1"/>
    </xf>
    <xf numFmtId="0" fontId="10" fillId="0" borderId="11" xfId="0" applyFont="1" applyBorder="1" applyAlignment="1">
      <alignment horizontal="left" vertical="center" wrapText="1"/>
    </xf>
    <xf numFmtId="0" fontId="10" fillId="0" borderId="20" xfId="0" applyFont="1" applyBorder="1" applyAlignment="1">
      <alignment horizontal="left" vertical="center" wrapText="1"/>
    </xf>
    <xf numFmtId="0" fontId="10" fillId="0" borderId="12" xfId="0" applyFont="1" applyBorder="1" applyAlignment="1">
      <alignment horizontal="left" vertical="center" wrapText="1"/>
    </xf>
    <xf numFmtId="0" fontId="17" fillId="5" borderId="12" xfId="0" applyFont="1" applyFill="1" applyBorder="1" applyAlignment="1">
      <alignment horizontal="center" vertical="center" wrapText="1"/>
    </xf>
    <xf numFmtId="0" fontId="17" fillId="5" borderId="1" xfId="0" applyFont="1" applyFill="1" applyBorder="1" applyAlignment="1">
      <alignment horizontal="center" vertical="top" wrapText="1"/>
    </xf>
    <xf numFmtId="0" fontId="30" fillId="0" borderId="0" xfId="0" applyFont="1" applyAlignment="1">
      <alignment horizontal="left" vertical="center"/>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2" xfId="0" applyFont="1" applyBorder="1" applyAlignment="1">
      <alignment horizontal="center" vertical="top" wrapText="1"/>
    </xf>
    <xf numFmtId="0" fontId="17" fillId="0" borderId="3" xfId="0" applyFont="1" applyBorder="1" applyAlignment="1">
      <alignment horizontal="center" vertical="top" wrapText="1"/>
    </xf>
    <xf numFmtId="0" fontId="17" fillId="0" borderId="1" xfId="0" applyFont="1" applyBorder="1" applyAlignment="1">
      <alignment horizontal="center" vertical="center" wrapText="1"/>
    </xf>
  </cellXfs>
  <cellStyles count="2">
    <cellStyle name="Milliers"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N48"/>
  <sheetViews>
    <sheetView tabSelected="1" view="pageBreakPreview" zoomScaleNormal="100" zoomScaleSheetLayoutView="100" workbookViewId="0">
      <selection activeCell="K3" sqref="K3"/>
    </sheetView>
  </sheetViews>
  <sheetFormatPr baseColWidth="10" defaultRowHeight="14.25" x14ac:dyDescent="0.2"/>
  <cols>
    <col min="1" max="1" width="9.140625" style="1" customWidth="1"/>
    <col min="2" max="2" width="13.42578125" style="1" customWidth="1"/>
    <col min="3" max="3" width="61.85546875" style="54" customWidth="1"/>
    <col min="4" max="4" width="14.140625" style="1" customWidth="1"/>
    <col min="5" max="5" width="16.42578125" style="1" customWidth="1"/>
    <col min="6" max="6" width="14.85546875" style="1" customWidth="1"/>
    <col min="7" max="7" width="14.7109375" style="1" customWidth="1"/>
    <col min="8" max="8" width="17.5703125" style="1" customWidth="1"/>
    <col min="9" max="9" width="21.140625" style="1" customWidth="1"/>
    <col min="10" max="10" width="19" style="170" customWidth="1"/>
    <col min="11" max="11" width="19.85546875" style="165" bestFit="1" customWidth="1"/>
    <col min="12" max="12" width="11.42578125" style="1"/>
    <col min="13" max="14" width="17.85546875" style="1" bestFit="1" customWidth="1"/>
    <col min="15" max="16384" width="11.42578125" style="1"/>
  </cols>
  <sheetData>
    <row r="1" spans="1:14" ht="19.5" x14ac:dyDescent="0.4">
      <c r="A1" s="195" t="s">
        <v>0</v>
      </c>
      <c r="B1" s="195"/>
      <c r="C1" s="195"/>
      <c r="D1" s="195"/>
      <c r="E1" s="195"/>
      <c r="F1" s="195"/>
      <c r="G1" s="195"/>
      <c r="H1" s="195"/>
    </row>
    <row r="2" spans="1:14" ht="19.5" x14ac:dyDescent="0.4">
      <c r="A2" s="195" t="s">
        <v>3</v>
      </c>
      <c r="B2" s="195"/>
      <c r="C2" s="195"/>
      <c r="D2" s="195"/>
      <c r="E2" s="195"/>
      <c r="F2" s="195"/>
      <c r="G2" s="195"/>
      <c r="H2" s="195"/>
    </row>
    <row r="3" spans="1:14" ht="19.5" x14ac:dyDescent="0.4">
      <c r="A3" s="195" t="s">
        <v>230</v>
      </c>
      <c r="B3" s="195"/>
      <c r="C3" s="195"/>
      <c r="D3" s="195"/>
      <c r="E3" s="195"/>
      <c r="F3" s="195"/>
      <c r="G3" s="195"/>
      <c r="H3" s="195"/>
    </row>
    <row r="4" spans="1:14" ht="14.45" customHeight="1" x14ac:dyDescent="0.25">
      <c r="A4" s="181"/>
      <c r="B4" s="181"/>
      <c r="C4" s="182"/>
      <c r="D4" s="181"/>
      <c r="E4" s="181"/>
      <c r="F4" s="181"/>
      <c r="G4" s="181"/>
      <c r="H4" s="181"/>
    </row>
    <row r="5" spans="1:14" ht="18.75" x14ac:dyDescent="0.25">
      <c r="A5" s="5" t="s">
        <v>6</v>
      </c>
      <c r="B5" s="5"/>
      <c r="C5" s="183">
        <v>2024</v>
      </c>
      <c r="D5" s="181"/>
      <c r="E5" s="181"/>
      <c r="F5" s="181"/>
      <c r="G5" s="181"/>
      <c r="H5" s="181"/>
    </row>
    <row r="6" spans="1:14" ht="18.75" x14ac:dyDescent="0.25">
      <c r="A6" s="14" t="s">
        <v>8</v>
      </c>
      <c r="B6" s="14"/>
      <c r="C6" s="184" t="s">
        <v>27</v>
      </c>
      <c r="D6" s="181"/>
      <c r="E6" s="181"/>
      <c r="F6" s="181"/>
      <c r="G6" s="181"/>
      <c r="H6" s="181"/>
    </row>
    <row r="7" spans="1:14" ht="19.5" customHeight="1" x14ac:dyDescent="0.25">
      <c r="A7" s="199" t="s">
        <v>16</v>
      </c>
      <c r="B7" s="199"/>
      <c r="C7" s="185">
        <v>333</v>
      </c>
      <c r="D7" s="181"/>
      <c r="E7" s="181"/>
      <c r="F7" s="181"/>
      <c r="G7" s="181"/>
      <c r="H7" s="181"/>
    </row>
    <row r="9" spans="1:14" ht="14.45" customHeight="1" x14ac:dyDescent="0.2">
      <c r="A9" s="189" t="s">
        <v>1</v>
      </c>
      <c r="B9" s="189" t="s">
        <v>4</v>
      </c>
      <c r="C9" s="189" t="s">
        <v>15</v>
      </c>
      <c r="D9" s="189" t="s">
        <v>2</v>
      </c>
      <c r="E9" s="189" t="s">
        <v>11</v>
      </c>
      <c r="F9" s="189" t="s">
        <v>12</v>
      </c>
      <c r="G9" s="197" t="s">
        <v>10</v>
      </c>
      <c r="H9" s="189" t="s">
        <v>171</v>
      </c>
      <c r="I9" s="189" t="s">
        <v>173</v>
      </c>
      <c r="J9" s="188" t="s">
        <v>39</v>
      </c>
      <c r="K9" s="187"/>
      <c r="M9" s="167"/>
    </row>
    <row r="10" spans="1:14" ht="50.25" customHeight="1" x14ac:dyDescent="0.2">
      <c r="A10" s="189"/>
      <c r="B10" s="196"/>
      <c r="C10" s="189"/>
      <c r="D10" s="196"/>
      <c r="E10" s="196"/>
      <c r="F10" s="196"/>
      <c r="G10" s="198"/>
      <c r="H10" s="190"/>
      <c r="I10" s="190"/>
      <c r="J10" s="188"/>
      <c r="K10" s="187"/>
      <c r="M10" s="167"/>
      <c r="N10" s="167"/>
    </row>
    <row r="11" spans="1:14" ht="42" customHeight="1" x14ac:dyDescent="0.2">
      <c r="A11" s="154"/>
      <c r="B11" s="163"/>
      <c r="C11" s="154" t="s">
        <v>29</v>
      </c>
      <c r="D11" s="163"/>
      <c r="E11" s="163"/>
      <c r="F11" s="163"/>
      <c r="G11" s="155"/>
      <c r="H11" s="164"/>
      <c r="I11" s="164"/>
      <c r="J11" s="171"/>
      <c r="M11" s="167"/>
      <c r="N11" s="167"/>
    </row>
    <row r="12" spans="1:14" ht="60" customHeight="1" x14ac:dyDescent="0.2">
      <c r="A12" s="2">
        <v>1</v>
      </c>
      <c r="B12" s="11" t="s">
        <v>30</v>
      </c>
      <c r="C12" s="53" t="s">
        <v>152</v>
      </c>
      <c r="D12" s="8" t="s">
        <v>22</v>
      </c>
      <c r="E12" s="13" t="s">
        <v>146</v>
      </c>
      <c r="F12" s="7" t="s">
        <v>147</v>
      </c>
      <c r="G12" s="8" t="s">
        <v>26</v>
      </c>
      <c r="H12" s="16">
        <v>45384</v>
      </c>
      <c r="I12" s="16" t="s">
        <v>33</v>
      </c>
      <c r="J12" s="172">
        <v>2449</v>
      </c>
      <c r="N12" s="168"/>
    </row>
    <row r="13" spans="1:14" ht="60" customHeight="1" x14ac:dyDescent="0.2">
      <c r="A13" s="2">
        <v>2</v>
      </c>
      <c r="B13" s="11" t="s">
        <v>28</v>
      </c>
      <c r="C13" s="53" t="s">
        <v>231</v>
      </c>
      <c r="D13" s="8" t="s">
        <v>22</v>
      </c>
      <c r="E13" s="13" t="s">
        <v>146</v>
      </c>
      <c r="F13" s="7" t="s">
        <v>31</v>
      </c>
      <c r="G13" s="8" t="s">
        <v>26</v>
      </c>
      <c r="H13" s="16" t="s">
        <v>33</v>
      </c>
      <c r="I13" s="16" t="s">
        <v>236</v>
      </c>
      <c r="J13" s="172">
        <v>2449</v>
      </c>
      <c r="N13" s="168"/>
    </row>
    <row r="14" spans="1:14" ht="60" customHeight="1" x14ac:dyDescent="0.2">
      <c r="A14" s="2">
        <v>3</v>
      </c>
      <c r="B14" s="11" t="s">
        <v>28</v>
      </c>
      <c r="C14" s="53" t="s">
        <v>232</v>
      </c>
      <c r="D14" s="8" t="s">
        <v>22</v>
      </c>
      <c r="E14" s="13" t="s">
        <v>146</v>
      </c>
      <c r="F14" s="7" t="s">
        <v>31</v>
      </c>
      <c r="G14" s="8" t="s">
        <v>26</v>
      </c>
      <c r="H14" s="16">
        <v>45356</v>
      </c>
      <c r="I14" s="16" t="s">
        <v>33</v>
      </c>
      <c r="J14" s="172">
        <v>2449</v>
      </c>
      <c r="N14" s="168"/>
    </row>
    <row r="15" spans="1:14" ht="41.25" customHeight="1" x14ac:dyDescent="0.2">
      <c r="A15" s="148"/>
      <c r="B15" s="149"/>
      <c r="C15" s="157" t="s">
        <v>23</v>
      </c>
      <c r="D15" s="150"/>
      <c r="E15" s="151"/>
      <c r="F15" s="152"/>
      <c r="G15" s="150"/>
      <c r="H15" s="153"/>
      <c r="I15" s="153"/>
      <c r="J15" s="173"/>
      <c r="N15" s="168"/>
    </row>
    <row r="16" spans="1:14" ht="60" customHeight="1" x14ac:dyDescent="0.2">
      <c r="A16" s="2">
        <v>1</v>
      </c>
      <c r="B16" s="11" t="s">
        <v>28</v>
      </c>
      <c r="C16" s="53" t="s">
        <v>235</v>
      </c>
      <c r="D16" s="8" t="s">
        <v>22</v>
      </c>
      <c r="E16" s="13" t="s">
        <v>23</v>
      </c>
      <c r="F16" s="7" t="s">
        <v>31</v>
      </c>
      <c r="G16" s="8" t="s">
        <v>26</v>
      </c>
      <c r="H16" s="16">
        <v>45366</v>
      </c>
      <c r="I16" s="16" t="s">
        <v>33</v>
      </c>
      <c r="J16" s="172">
        <v>2339</v>
      </c>
      <c r="N16" s="168"/>
    </row>
    <row r="17" spans="1:14" ht="60" customHeight="1" x14ac:dyDescent="0.2">
      <c r="A17" s="2">
        <v>2</v>
      </c>
      <c r="B17" s="11" t="s">
        <v>28</v>
      </c>
      <c r="C17" s="53" t="s">
        <v>141</v>
      </c>
      <c r="D17" s="8" t="s">
        <v>22</v>
      </c>
      <c r="E17" s="13" t="s">
        <v>23</v>
      </c>
      <c r="F17" s="7" t="s">
        <v>31</v>
      </c>
      <c r="G17" s="8" t="s">
        <v>26</v>
      </c>
      <c r="H17" s="16">
        <v>45366</v>
      </c>
      <c r="I17" s="16" t="s">
        <v>33</v>
      </c>
      <c r="J17" s="172">
        <v>2355</v>
      </c>
      <c r="N17" s="168"/>
    </row>
    <row r="18" spans="1:14" ht="60" customHeight="1" x14ac:dyDescent="0.2">
      <c r="A18" s="2">
        <v>3</v>
      </c>
      <c r="B18" s="13" t="s">
        <v>28</v>
      </c>
      <c r="C18" s="53" t="s">
        <v>233</v>
      </c>
      <c r="D18" s="8" t="s">
        <v>22</v>
      </c>
      <c r="E18" s="13" t="s">
        <v>23</v>
      </c>
      <c r="F18" s="13" t="s">
        <v>31</v>
      </c>
      <c r="G18" s="13" t="s">
        <v>26</v>
      </c>
      <c r="H18" s="16">
        <v>45384</v>
      </c>
      <c r="I18" s="16" t="s">
        <v>33</v>
      </c>
      <c r="J18" s="172">
        <v>2345</v>
      </c>
      <c r="N18" s="168"/>
    </row>
    <row r="19" spans="1:14" ht="60" customHeight="1" x14ac:dyDescent="0.2">
      <c r="A19" s="2">
        <v>4</v>
      </c>
      <c r="B19" s="13" t="s">
        <v>28</v>
      </c>
      <c r="C19" s="53" t="s">
        <v>246</v>
      </c>
      <c r="D19" s="8" t="s">
        <v>22</v>
      </c>
      <c r="E19" s="13" t="s">
        <v>23</v>
      </c>
      <c r="F19" s="13" t="s">
        <v>31</v>
      </c>
      <c r="G19" s="13" t="s">
        <v>26</v>
      </c>
      <c r="H19" s="16">
        <v>45397</v>
      </c>
      <c r="I19" s="16" t="s">
        <v>33</v>
      </c>
      <c r="J19" s="172">
        <v>2343</v>
      </c>
      <c r="M19" s="167"/>
      <c r="N19" s="167"/>
    </row>
    <row r="20" spans="1:14" ht="60" customHeight="1" x14ac:dyDescent="0.2">
      <c r="A20" s="2">
        <v>5</v>
      </c>
      <c r="B20" s="13" t="s">
        <v>30</v>
      </c>
      <c r="C20" s="53" t="s">
        <v>154</v>
      </c>
      <c r="D20" s="8" t="s">
        <v>22</v>
      </c>
      <c r="E20" s="13" t="s">
        <v>23</v>
      </c>
      <c r="F20" s="13" t="s">
        <v>229</v>
      </c>
      <c r="G20" s="13" t="s">
        <v>26</v>
      </c>
      <c r="H20" s="16" t="s">
        <v>236</v>
      </c>
      <c r="I20" s="16" t="s">
        <v>33</v>
      </c>
      <c r="J20" s="172">
        <v>2339</v>
      </c>
      <c r="N20" s="167"/>
    </row>
    <row r="21" spans="1:14" ht="60" customHeight="1" x14ac:dyDescent="0.2">
      <c r="A21" s="2">
        <v>6</v>
      </c>
      <c r="B21" s="13" t="s">
        <v>244</v>
      </c>
      <c r="C21" s="53" t="s">
        <v>257</v>
      </c>
      <c r="D21" s="8" t="s">
        <v>22</v>
      </c>
      <c r="E21" s="13" t="s">
        <v>23</v>
      </c>
      <c r="F21" s="13" t="s">
        <v>137</v>
      </c>
      <c r="G21" s="13" t="s">
        <v>26</v>
      </c>
      <c r="H21" s="16" t="s">
        <v>236</v>
      </c>
      <c r="I21" s="16" t="s">
        <v>33</v>
      </c>
      <c r="J21" s="172">
        <v>2325</v>
      </c>
      <c r="N21" s="167"/>
    </row>
    <row r="22" spans="1:14" ht="60" customHeight="1" x14ac:dyDescent="0.2">
      <c r="A22" s="2">
        <v>7</v>
      </c>
      <c r="B22" s="13" t="s">
        <v>244</v>
      </c>
      <c r="C22" s="53" t="s">
        <v>258</v>
      </c>
      <c r="D22" s="8" t="s">
        <v>22</v>
      </c>
      <c r="E22" s="13" t="s">
        <v>23</v>
      </c>
      <c r="F22" s="13" t="s">
        <v>137</v>
      </c>
      <c r="G22" s="13" t="s">
        <v>26</v>
      </c>
      <c r="H22" s="16" t="s">
        <v>236</v>
      </c>
      <c r="I22" s="16" t="s">
        <v>33</v>
      </c>
      <c r="J22" s="172">
        <v>2325</v>
      </c>
      <c r="N22" s="167"/>
    </row>
    <row r="23" spans="1:14" ht="60" customHeight="1" x14ac:dyDescent="0.2">
      <c r="A23" s="2">
        <v>8</v>
      </c>
      <c r="B23" s="13" t="s">
        <v>244</v>
      </c>
      <c r="C23" s="53" t="s">
        <v>259</v>
      </c>
      <c r="D23" s="8" t="s">
        <v>22</v>
      </c>
      <c r="E23" s="13" t="s">
        <v>23</v>
      </c>
      <c r="F23" s="13" t="s">
        <v>137</v>
      </c>
      <c r="G23" s="13" t="s">
        <v>26</v>
      </c>
      <c r="H23" s="16" t="s">
        <v>236</v>
      </c>
      <c r="I23" s="16" t="s">
        <v>33</v>
      </c>
      <c r="J23" s="172">
        <v>2325</v>
      </c>
      <c r="N23" s="167"/>
    </row>
    <row r="24" spans="1:14" ht="42" customHeight="1" x14ac:dyDescent="0.2">
      <c r="A24" s="144"/>
      <c r="B24" s="145"/>
      <c r="C24" s="156" t="s">
        <v>228</v>
      </c>
      <c r="D24" s="146"/>
      <c r="E24" s="145"/>
      <c r="F24" s="145"/>
      <c r="G24" s="145"/>
      <c r="H24" s="147"/>
      <c r="I24" s="147"/>
      <c r="J24" s="174"/>
      <c r="N24" s="167"/>
    </row>
    <row r="25" spans="1:14" ht="60" customHeight="1" x14ac:dyDescent="0.2">
      <c r="A25" s="2">
        <v>1</v>
      </c>
      <c r="B25" s="11" t="s">
        <v>30</v>
      </c>
      <c r="C25" s="53" t="s">
        <v>159</v>
      </c>
      <c r="D25" s="8" t="s">
        <v>22</v>
      </c>
      <c r="E25" s="13" t="s">
        <v>170</v>
      </c>
      <c r="F25" s="7" t="s">
        <v>137</v>
      </c>
      <c r="G25" s="8" t="s">
        <v>26</v>
      </c>
      <c r="H25" s="16" t="s">
        <v>33</v>
      </c>
      <c r="I25" s="16" t="s">
        <v>236</v>
      </c>
      <c r="J25" s="172">
        <v>6221</v>
      </c>
      <c r="N25" s="168"/>
    </row>
    <row r="26" spans="1:14" ht="60" customHeight="1" x14ac:dyDescent="0.2">
      <c r="A26" s="2">
        <v>2</v>
      </c>
      <c r="B26" s="11" t="s">
        <v>30</v>
      </c>
      <c r="C26" s="53" t="s">
        <v>162</v>
      </c>
      <c r="D26" s="8" t="s">
        <v>22</v>
      </c>
      <c r="E26" s="13" t="s">
        <v>24</v>
      </c>
      <c r="F26" s="7" t="s">
        <v>25</v>
      </c>
      <c r="G26" s="8" t="s">
        <v>26</v>
      </c>
      <c r="H26" s="15">
        <v>45356</v>
      </c>
      <c r="I26" s="16" t="s">
        <v>33</v>
      </c>
      <c r="J26" s="172">
        <v>2119</v>
      </c>
      <c r="N26" s="168"/>
    </row>
    <row r="27" spans="1:14" ht="60" customHeight="1" x14ac:dyDescent="0.2">
      <c r="A27" s="2">
        <v>3</v>
      </c>
      <c r="B27" s="11" t="s">
        <v>30</v>
      </c>
      <c r="C27" s="53" t="s">
        <v>161</v>
      </c>
      <c r="D27" s="8" t="s">
        <v>22</v>
      </c>
      <c r="E27" s="13" t="s">
        <v>24</v>
      </c>
      <c r="F27" s="7" t="s">
        <v>81</v>
      </c>
      <c r="G27" s="8" t="s">
        <v>26</v>
      </c>
      <c r="H27" s="15">
        <v>45514</v>
      </c>
      <c r="I27" s="16" t="s">
        <v>33</v>
      </c>
      <c r="J27" s="172">
        <v>2119</v>
      </c>
      <c r="N27" s="168"/>
    </row>
    <row r="28" spans="1:14" ht="60" customHeight="1" x14ac:dyDescent="0.2">
      <c r="A28" s="2">
        <v>4</v>
      </c>
      <c r="B28" s="11" t="s">
        <v>30</v>
      </c>
      <c r="C28" s="83" t="s">
        <v>153</v>
      </c>
      <c r="D28" s="8" t="s">
        <v>22</v>
      </c>
      <c r="E28" s="13" t="s">
        <v>24</v>
      </c>
      <c r="F28" s="7" t="s">
        <v>25</v>
      </c>
      <c r="G28" s="8" t="s">
        <v>26</v>
      </c>
      <c r="H28" s="16" t="s">
        <v>236</v>
      </c>
      <c r="I28" s="16" t="s">
        <v>33</v>
      </c>
      <c r="J28" s="172">
        <v>6221</v>
      </c>
      <c r="N28" s="168"/>
    </row>
    <row r="29" spans="1:14" ht="60" customHeight="1" x14ac:dyDescent="0.2">
      <c r="A29" s="2">
        <v>5</v>
      </c>
      <c r="B29" s="11" t="s">
        <v>30</v>
      </c>
      <c r="C29" s="83" t="s">
        <v>226</v>
      </c>
      <c r="D29" s="8" t="s">
        <v>22</v>
      </c>
      <c r="E29" s="13" t="s">
        <v>24</v>
      </c>
      <c r="F29" s="7" t="s">
        <v>25</v>
      </c>
      <c r="G29" s="8" t="s">
        <v>26</v>
      </c>
      <c r="H29" s="16" t="s">
        <v>236</v>
      </c>
      <c r="I29" s="16" t="s">
        <v>33</v>
      </c>
      <c r="J29" s="172">
        <v>2119</v>
      </c>
      <c r="N29" s="168"/>
    </row>
    <row r="30" spans="1:14" ht="60" customHeight="1" x14ac:dyDescent="0.2">
      <c r="A30" s="2">
        <v>6</v>
      </c>
      <c r="B30" s="11" t="s">
        <v>28</v>
      </c>
      <c r="C30" s="53" t="s">
        <v>237</v>
      </c>
      <c r="D30" s="8" t="s">
        <v>22</v>
      </c>
      <c r="E30" s="13" t="s">
        <v>170</v>
      </c>
      <c r="F30" s="7" t="s">
        <v>137</v>
      </c>
      <c r="G30" s="8" t="s">
        <v>26</v>
      </c>
      <c r="H30" s="55" t="s">
        <v>33</v>
      </c>
      <c r="I30" s="16">
        <v>45392</v>
      </c>
      <c r="J30" s="172">
        <v>2119</v>
      </c>
      <c r="N30" s="168"/>
    </row>
    <row r="31" spans="1:14" ht="60" customHeight="1" x14ac:dyDescent="0.2">
      <c r="A31" s="2">
        <v>7</v>
      </c>
      <c r="B31" s="11" t="s">
        <v>28</v>
      </c>
      <c r="C31" s="53" t="s">
        <v>218</v>
      </c>
      <c r="D31" s="8" t="s">
        <v>22</v>
      </c>
      <c r="E31" s="13" t="s">
        <v>170</v>
      </c>
      <c r="F31" s="7" t="s">
        <v>137</v>
      </c>
      <c r="G31" s="8" t="s">
        <v>26</v>
      </c>
      <c r="H31" s="55" t="s">
        <v>33</v>
      </c>
      <c r="I31" s="16">
        <v>45392</v>
      </c>
      <c r="J31" s="172">
        <v>2119</v>
      </c>
      <c r="N31" s="168"/>
    </row>
    <row r="32" spans="1:14" ht="60" customHeight="1" x14ac:dyDescent="0.2">
      <c r="A32" s="2">
        <v>8</v>
      </c>
      <c r="B32" s="13" t="s">
        <v>30</v>
      </c>
      <c r="C32" s="83" t="s">
        <v>225</v>
      </c>
      <c r="D32" s="8" t="s">
        <v>22</v>
      </c>
      <c r="E32" s="13" t="s">
        <v>170</v>
      </c>
      <c r="F32" s="13" t="s">
        <v>137</v>
      </c>
      <c r="G32" s="13" t="s">
        <v>26</v>
      </c>
      <c r="H32" s="55" t="s">
        <v>33</v>
      </c>
      <c r="I32" s="16">
        <v>45448</v>
      </c>
      <c r="J32" s="172">
        <v>6221</v>
      </c>
      <c r="N32" s="167"/>
    </row>
    <row r="33" spans="1:14" ht="60" customHeight="1" x14ac:dyDescent="0.2">
      <c r="A33" s="2">
        <v>9</v>
      </c>
      <c r="B33" s="13" t="s">
        <v>30</v>
      </c>
      <c r="C33" s="53" t="s">
        <v>181</v>
      </c>
      <c r="D33" s="8" t="s">
        <v>22</v>
      </c>
      <c r="E33" s="13" t="s">
        <v>24</v>
      </c>
      <c r="F33" s="13" t="s">
        <v>25</v>
      </c>
      <c r="G33" s="13" t="s">
        <v>26</v>
      </c>
      <c r="H33" s="16">
        <v>45448</v>
      </c>
      <c r="I33" s="16" t="s">
        <v>33</v>
      </c>
      <c r="J33" s="172">
        <v>2119</v>
      </c>
      <c r="N33" s="168"/>
    </row>
    <row r="34" spans="1:14" ht="60" customHeight="1" x14ac:dyDescent="0.2">
      <c r="A34" s="2">
        <v>10</v>
      </c>
      <c r="B34" s="13" t="s">
        <v>30</v>
      </c>
      <c r="C34" s="53" t="s">
        <v>182</v>
      </c>
      <c r="D34" s="8" t="s">
        <v>22</v>
      </c>
      <c r="E34" s="13" t="s">
        <v>24</v>
      </c>
      <c r="F34" s="13" t="s">
        <v>25</v>
      </c>
      <c r="G34" s="13" t="s">
        <v>26</v>
      </c>
      <c r="H34" s="16">
        <v>45448</v>
      </c>
      <c r="I34" s="16" t="s">
        <v>33</v>
      </c>
      <c r="J34" s="172">
        <v>2119</v>
      </c>
      <c r="N34" s="168"/>
    </row>
    <row r="35" spans="1:14" ht="60" customHeight="1" x14ac:dyDescent="0.2">
      <c r="A35" s="2">
        <v>11</v>
      </c>
      <c r="B35" s="13" t="s">
        <v>28</v>
      </c>
      <c r="C35" s="53" t="s">
        <v>148</v>
      </c>
      <c r="D35" s="8" t="s">
        <v>22</v>
      </c>
      <c r="E35" s="13" t="s">
        <v>170</v>
      </c>
      <c r="F35" s="13" t="s">
        <v>137</v>
      </c>
      <c r="G35" s="13" t="s">
        <v>26</v>
      </c>
      <c r="H35" s="166" t="s">
        <v>33</v>
      </c>
      <c r="I35" s="16">
        <v>45356</v>
      </c>
      <c r="J35" s="172">
        <v>2119</v>
      </c>
      <c r="N35" s="168"/>
    </row>
    <row r="36" spans="1:14" ht="60" customHeight="1" x14ac:dyDescent="0.2">
      <c r="A36" s="2">
        <v>12</v>
      </c>
      <c r="B36" s="13" t="s">
        <v>28</v>
      </c>
      <c r="C36" s="53" t="s">
        <v>155</v>
      </c>
      <c r="D36" s="8" t="s">
        <v>22</v>
      </c>
      <c r="E36" s="13" t="s">
        <v>170</v>
      </c>
      <c r="F36" s="13" t="s">
        <v>137</v>
      </c>
      <c r="G36" s="13" t="s">
        <v>26</v>
      </c>
      <c r="H36" s="16" t="s">
        <v>33</v>
      </c>
      <c r="I36" s="16">
        <v>45356</v>
      </c>
      <c r="J36" s="172">
        <v>2119</v>
      </c>
      <c r="N36" s="168"/>
    </row>
    <row r="37" spans="1:14" ht="60" customHeight="1" x14ac:dyDescent="0.2">
      <c r="A37" s="2">
        <v>13</v>
      </c>
      <c r="B37" s="13" t="s">
        <v>28</v>
      </c>
      <c r="C37" s="53" t="s">
        <v>238</v>
      </c>
      <c r="D37" s="8" t="s">
        <v>22</v>
      </c>
      <c r="E37" s="13" t="s">
        <v>170</v>
      </c>
      <c r="F37" s="13" t="s">
        <v>137</v>
      </c>
      <c r="G37" s="13" t="s">
        <v>26</v>
      </c>
      <c r="H37" s="16" t="s">
        <v>33</v>
      </c>
      <c r="I37" s="16">
        <v>45356</v>
      </c>
      <c r="J37" s="186">
        <v>6221</v>
      </c>
      <c r="N37" s="168"/>
    </row>
    <row r="38" spans="1:14" ht="60" customHeight="1" x14ac:dyDescent="0.2">
      <c r="A38" s="2">
        <v>14</v>
      </c>
      <c r="B38" s="13" t="s">
        <v>28</v>
      </c>
      <c r="C38" s="53" t="s">
        <v>239</v>
      </c>
      <c r="D38" s="8" t="s">
        <v>22</v>
      </c>
      <c r="E38" s="13" t="s">
        <v>170</v>
      </c>
      <c r="F38" s="13" t="s">
        <v>137</v>
      </c>
      <c r="G38" s="13" t="s">
        <v>26</v>
      </c>
      <c r="H38" s="16" t="s">
        <v>33</v>
      </c>
      <c r="I38" s="16">
        <v>45356</v>
      </c>
      <c r="J38" s="186">
        <v>6221</v>
      </c>
      <c r="N38" s="168"/>
    </row>
    <row r="39" spans="1:14" ht="60" customHeight="1" x14ac:dyDescent="0.2">
      <c r="A39" s="2">
        <v>15</v>
      </c>
      <c r="B39" s="13" t="s">
        <v>28</v>
      </c>
      <c r="C39" s="53" t="s">
        <v>240</v>
      </c>
      <c r="D39" s="8" t="s">
        <v>22</v>
      </c>
      <c r="E39" s="13" t="s">
        <v>170</v>
      </c>
      <c r="F39" s="13" t="s">
        <v>137</v>
      </c>
      <c r="G39" s="13" t="s">
        <v>26</v>
      </c>
      <c r="H39" s="16" t="s">
        <v>33</v>
      </c>
      <c r="I39" s="16">
        <v>45356</v>
      </c>
      <c r="J39" s="186">
        <v>6221</v>
      </c>
      <c r="N39" s="168"/>
    </row>
    <row r="40" spans="1:14" ht="30" customHeight="1" x14ac:dyDescent="0.2">
      <c r="B40" s="192" t="s">
        <v>260</v>
      </c>
      <c r="C40" s="193"/>
      <c r="D40" s="193"/>
      <c r="E40" s="193"/>
      <c r="F40" s="193"/>
      <c r="G40" s="193"/>
      <c r="H40" s="194"/>
    </row>
    <row r="41" spans="1:14" ht="15" x14ac:dyDescent="0.25">
      <c r="A41" s="3" t="s">
        <v>5</v>
      </c>
      <c r="B41" s="1" t="s">
        <v>138</v>
      </c>
    </row>
    <row r="42" spans="1:14" ht="0.6" customHeight="1" x14ac:dyDescent="0.25">
      <c r="A42" s="3"/>
    </row>
    <row r="43" spans="1:14" ht="33.75" customHeight="1" x14ac:dyDescent="0.2">
      <c r="A43" s="191" t="s">
        <v>241</v>
      </c>
      <c r="B43" s="191"/>
      <c r="C43" s="191"/>
      <c r="D43" s="191"/>
    </row>
    <row r="44" spans="1:14" ht="15" x14ac:dyDescent="0.25">
      <c r="A44" s="1" t="s">
        <v>242</v>
      </c>
      <c r="B44" s="169"/>
      <c r="D44" s="169"/>
      <c r="E44" s="169"/>
      <c r="F44" s="169"/>
      <c r="G44" s="169"/>
      <c r="H44" s="169"/>
    </row>
    <row r="45" spans="1:14" x14ac:dyDescent="0.2">
      <c r="A45" s="1" t="s">
        <v>9</v>
      </c>
    </row>
    <row r="46" spans="1:14" x14ac:dyDescent="0.2">
      <c r="A46" s="1" t="s">
        <v>13</v>
      </c>
    </row>
    <row r="47" spans="1:14" ht="73.5" customHeight="1" x14ac:dyDescent="0.2">
      <c r="A47" s="191" t="s">
        <v>243</v>
      </c>
      <c r="B47" s="191"/>
      <c r="C47" s="191"/>
      <c r="D47" s="191"/>
      <c r="E47" s="191"/>
      <c r="F47" s="191"/>
      <c r="G47" s="191"/>
      <c r="H47" s="191"/>
    </row>
    <row r="48" spans="1:14" x14ac:dyDescent="0.2">
      <c r="B48" s="169"/>
      <c r="D48" s="169"/>
      <c r="E48" s="169"/>
      <c r="F48" s="169"/>
      <c r="G48" s="169"/>
      <c r="H48" s="169"/>
    </row>
  </sheetData>
  <mergeCells count="18">
    <mergeCell ref="A1:H1"/>
    <mergeCell ref="A2:H2"/>
    <mergeCell ref="A3:H3"/>
    <mergeCell ref="A9:A10"/>
    <mergeCell ref="B9:B10"/>
    <mergeCell ref="C9:C10"/>
    <mergeCell ref="D9:D10"/>
    <mergeCell ref="E9:E10"/>
    <mergeCell ref="F9:F10"/>
    <mergeCell ref="H9:H10"/>
    <mergeCell ref="G9:G10"/>
    <mergeCell ref="A7:B7"/>
    <mergeCell ref="K9:K10"/>
    <mergeCell ref="J9:J10"/>
    <mergeCell ref="I9:I10"/>
    <mergeCell ref="A47:H47"/>
    <mergeCell ref="B40:H40"/>
    <mergeCell ref="A43:D43"/>
  </mergeCells>
  <pageMargins left="0.25" right="0.25" top="0.75" bottom="0.75" header="0.3" footer="0.3"/>
  <pageSetup paperSize="9" scale="7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J41"/>
  <sheetViews>
    <sheetView topLeftCell="A11" zoomScaleNormal="100" workbookViewId="0">
      <selection activeCell="A14" sqref="A14:A24"/>
    </sheetView>
  </sheetViews>
  <sheetFormatPr baseColWidth="10" defaultColWidth="11.42578125" defaultRowHeight="15" x14ac:dyDescent="0.25"/>
  <cols>
    <col min="1" max="1" width="6.85546875" style="18" customWidth="1"/>
    <col min="2" max="2" width="11" style="18" customWidth="1"/>
    <col min="3" max="3" width="40.7109375" style="18" customWidth="1"/>
    <col min="4" max="5" width="11.7109375" style="18" customWidth="1"/>
    <col min="6" max="6" width="10.28515625" style="18" customWidth="1"/>
    <col min="7" max="7" width="13.140625" style="18" customWidth="1"/>
    <col min="8" max="8" width="8.7109375" style="18" customWidth="1"/>
    <col min="9" max="9" width="11.140625" style="18" customWidth="1"/>
    <col min="10" max="10" width="16.140625" style="18" customWidth="1"/>
    <col min="11" max="12" width="11.42578125" style="18" customWidth="1"/>
    <col min="13" max="13" width="11.140625" style="18" customWidth="1"/>
    <col min="14" max="14" width="11.28515625" style="18" bestFit="1" customWidth="1"/>
    <col min="15" max="15" width="11.28515625" style="18" customWidth="1"/>
    <col min="16" max="16" width="11.140625" style="18" customWidth="1"/>
    <col min="17" max="17" width="11.5703125" style="18" customWidth="1"/>
    <col min="18" max="18" width="11.28515625" style="18" customWidth="1"/>
    <col min="19" max="19" width="12.140625" style="18" customWidth="1"/>
    <col min="20" max="20" width="11.5703125" style="18" customWidth="1"/>
    <col min="21" max="21" width="12.140625" style="18" customWidth="1"/>
    <col min="22" max="22" width="11.5703125" style="18" customWidth="1"/>
    <col min="23" max="23" width="10" style="18" customWidth="1"/>
    <col min="24" max="24" width="11.140625" style="18" customWidth="1"/>
    <col min="25" max="25" width="11.7109375" style="18" customWidth="1"/>
    <col min="26" max="26" width="11.28515625" style="18" customWidth="1"/>
    <col min="27" max="27" width="11.85546875" style="18" customWidth="1"/>
    <col min="28" max="16384" width="11.42578125" style="18"/>
  </cols>
  <sheetData>
    <row r="1" spans="1:28" ht="24.75" customHeight="1" x14ac:dyDescent="0.25">
      <c r="A1" s="200" t="s">
        <v>34</v>
      </c>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row>
    <row r="2" spans="1:28" ht="22.5" x14ac:dyDescent="0.25">
      <c r="A2" s="19"/>
      <c r="B2" s="19"/>
      <c r="C2" s="19"/>
      <c r="D2" s="19"/>
      <c r="E2" s="19"/>
      <c r="F2" s="19"/>
      <c r="G2" s="19"/>
      <c r="H2" s="19"/>
      <c r="I2" s="19"/>
      <c r="J2" s="19"/>
      <c r="K2" s="19"/>
      <c r="L2" s="19"/>
      <c r="M2" s="19"/>
      <c r="N2" s="19"/>
      <c r="O2" s="19"/>
      <c r="P2" s="19"/>
      <c r="Q2" s="19"/>
      <c r="R2" s="19"/>
      <c r="S2" s="19"/>
      <c r="T2" s="19"/>
      <c r="U2" s="19"/>
      <c r="V2" s="19"/>
      <c r="W2" s="19"/>
      <c r="X2" s="19"/>
      <c r="Y2" s="19"/>
      <c r="Z2" s="19"/>
      <c r="AA2" s="19"/>
    </row>
    <row r="3" spans="1:28" ht="19.899999999999999" customHeight="1" x14ac:dyDescent="0.25">
      <c r="A3" s="19"/>
      <c r="B3" s="19"/>
      <c r="C3" s="19"/>
      <c r="D3" s="19"/>
      <c r="E3" s="19"/>
      <c r="F3" s="19"/>
      <c r="G3" s="19"/>
      <c r="H3" s="19"/>
      <c r="I3" s="19"/>
      <c r="J3" s="19"/>
      <c r="K3" s="19"/>
      <c r="L3" s="19"/>
      <c r="M3" s="19"/>
      <c r="N3" s="19"/>
      <c r="P3" s="20" t="s">
        <v>6</v>
      </c>
      <c r="R3" s="19">
        <v>2022</v>
      </c>
      <c r="S3" s="19"/>
      <c r="T3" s="19"/>
      <c r="U3" s="19"/>
      <c r="V3" s="19"/>
      <c r="W3" s="19"/>
      <c r="X3" s="19"/>
      <c r="Y3" s="19"/>
      <c r="Z3" s="19"/>
      <c r="AA3" s="19"/>
    </row>
    <row r="4" spans="1:28" ht="19.899999999999999" customHeight="1" x14ac:dyDescent="0.25">
      <c r="A4" s="19"/>
      <c r="B4" s="19"/>
      <c r="C4" s="19"/>
      <c r="D4" s="19"/>
      <c r="E4" s="19"/>
      <c r="F4" s="19"/>
      <c r="G4" s="19"/>
      <c r="H4" s="19"/>
      <c r="I4" s="19"/>
      <c r="J4" s="19"/>
      <c r="K4" s="19"/>
      <c r="L4" s="19"/>
      <c r="M4" s="19"/>
      <c r="N4" s="19"/>
      <c r="P4" s="21" t="s">
        <v>35</v>
      </c>
      <c r="R4" s="19">
        <v>33</v>
      </c>
      <c r="S4" s="19"/>
      <c r="T4" s="19"/>
      <c r="U4" s="19"/>
      <c r="V4" s="19"/>
      <c r="W4" s="19"/>
      <c r="X4" s="19"/>
      <c r="Y4" s="19"/>
      <c r="Z4" s="19"/>
      <c r="AA4" s="19"/>
    </row>
    <row r="5" spans="1:28" ht="19.899999999999999" customHeight="1" x14ac:dyDescent="0.25">
      <c r="A5" s="19"/>
      <c r="B5" s="19"/>
      <c r="C5" s="19"/>
      <c r="D5" s="19"/>
      <c r="E5" s="19"/>
      <c r="I5" s="19"/>
      <c r="J5" s="19"/>
      <c r="K5" s="19"/>
      <c r="L5" s="19"/>
      <c r="M5" s="19"/>
      <c r="N5" s="19"/>
      <c r="P5" s="20" t="s">
        <v>36</v>
      </c>
      <c r="Q5" s="19"/>
      <c r="R5" s="22" t="s">
        <v>27</v>
      </c>
      <c r="S5" s="19"/>
      <c r="T5" s="19"/>
      <c r="U5" s="19"/>
      <c r="V5" s="19"/>
      <c r="W5" s="19"/>
      <c r="X5" s="19"/>
      <c r="Y5" s="19"/>
      <c r="Z5" s="19"/>
      <c r="AA5" s="19"/>
    </row>
    <row r="6" spans="1:28" ht="7.9" customHeight="1" thickBot="1" x14ac:dyDescent="0.3">
      <c r="A6" s="23"/>
      <c r="B6" s="23"/>
      <c r="C6" s="23"/>
      <c r="D6" s="23"/>
      <c r="E6" s="23"/>
      <c r="F6" s="23"/>
      <c r="G6" s="23"/>
      <c r="H6" s="23"/>
      <c r="I6" s="23"/>
      <c r="J6" s="23"/>
      <c r="K6" s="23"/>
      <c r="L6" s="23"/>
      <c r="M6" s="23"/>
      <c r="N6" s="23"/>
      <c r="O6" s="23"/>
      <c r="P6" s="23"/>
      <c r="Q6" s="23"/>
      <c r="R6" s="23"/>
      <c r="S6" s="23"/>
      <c r="T6" s="23"/>
      <c r="U6" s="23"/>
      <c r="V6" s="23"/>
      <c r="W6" s="23"/>
      <c r="X6" s="23"/>
      <c r="Y6" s="23"/>
      <c r="Z6" s="23"/>
      <c r="AA6" s="23"/>
    </row>
    <row r="7" spans="1:28" s="24" customFormat="1" ht="46.5" customHeight="1" x14ac:dyDescent="0.25">
      <c r="A7" s="201" t="s">
        <v>138</v>
      </c>
      <c r="B7" s="203" t="s">
        <v>2</v>
      </c>
      <c r="C7" s="203" t="s">
        <v>37</v>
      </c>
      <c r="D7" s="203" t="s">
        <v>38</v>
      </c>
      <c r="E7" s="203" t="s">
        <v>144</v>
      </c>
      <c r="F7" s="203" t="s">
        <v>39</v>
      </c>
      <c r="G7" s="203" t="s">
        <v>40</v>
      </c>
      <c r="H7" s="203" t="s">
        <v>41</v>
      </c>
      <c r="I7" s="203" t="s">
        <v>42</v>
      </c>
      <c r="J7" s="203" t="s">
        <v>43</v>
      </c>
      <c r="K7" s="203" t="s">
        <v>44</v>
      </c>
      <c r="L7" s="203" t="s">
        <v>193</v>
      </c>
      <c r="M7" s="206" t="s">
        <v>45</v>
      </c>
      <c r="N7" s="208"/>
      <c r="O7" s="203" t="s">
        <v>46</v>
      </c>
      <c r="P7" s="206" t="s">
        <v>47</v>
      </c>
      <c r="Q7" s="208"/>
      <c r="R7" s="203" t="s">
        <v>48</v>
      </c>
      <c r="S7" s="203" t="s">
        <v>49</v>
      </c>
      <c r="T7" s="206" t="s">
        <v>50</v>
      </c>
      <c r="U7" s="208"/>
      <c r="V7" s="203" t="s">
        <v>51</v>
      </c>
      <c r="W7" s="206" t="s">
        <v>52</v>
      </c>
      <c r="X7" s="213"/>
      <c r="Y7" s="203" t="s">
        <v>53</v>
      </c>
      <c r="Z7" s="206" t="s">
        <v>54</v>
      </c>
      <c r="AA7" s="207"/>
    </row>
    <row r="8" spans="1:28" s="24" customFormat="1" ht="43.5" customHeight="1" x14ac:dyDescent="0.25">
      <c r="A8" s="202"/>
      <c r="B8" s="204"/>
      <c r="C8" s="204"/>
      <c r="D8" s="205"/>
      <c r="E8" s="205"/>
      <c r="F8" s="204"/>
      <c r="G8" s="205"/>
      <c r="H8" s="205"/>
      <c r="I8" s="204"/>
      <c r="J8" s="205"/>
      <c r="K8" s="204"/>
      <c r="L8" s="204"/>
      <c r="M8" s="76" t="s">
        <v>192</v>
      </c>
      <c r="N8" s="76" t="s">
        <v>56</v>
      </c>
      <c r="O8" s="205"/>
      <c r="P8" s="77" t="s">
        <v>57</v>
      </c>
      <c r="Q8" s="77" t="s">
        <v>58</v>
      </c>
      <c r="R8" s="204"/>
      <c r="S8" s="204"/>
      <c r="T8" s="78" t="s">
        <v>192</v>
      </c>
      <c r="U8" s="78" t="s">
        <v>56</v>
      </c>
      <c r="V8" s="205"/>
      <c r="W8" s="77" t="s">
        <v>59</v>
      </c>
      <c r="X8" s="80" t="s">
        <v>2</v>
      </c>
      <c r="Y8" s="204"/>
      <c r="Z8" s="77" t="s">
        <v>60</v>
      </c>
      <c r="AA8" s="79" t="s">
        <v>61</v>
      </c>
    </row>
    <row r="9" spans="1:28" ht="60" customHeight="1" x14ac:dyDescent="0.25">
      <c r="A9" s="60">
        <v>1</v>
      </c>
      <c r="B9" s="56" t="s">
        <v>22</v>
      </c>
      <c r="C9" s="75" t="s">
        <v>151</v>
      </c>
      <c r="D9" s="56" t="s">
        <v>30</v>
      </c>
      <c r="E9" s="72" t="s">
        <v>177</v>
      </c>
      <c r="F9" s="72">
        <v>2413</v>
      </c>
      <c r="G9" s="56" t="s">
        <v>146</v>
      </c>
      <c r="H9" s="56" t="s">
        <v>180</v>
      </c>
      <c r="I9" s="56" t="s">
        <v>31</v>
      </c>
      <c r="J9" s="56" t="s">
        <v>22</v>
      </c>
      <c r="K9" s="56" t="s">
        <v>213</v>
      </c>
      <c r="L9" s="62">
        <v>44656</v>
      </c>
      <c r="M9" s="62">
        <v>44673</v>
      </c>
      <c r="N9" s="62">
        <v>44704</v>
      </c>
      <c r="O9" s="62">
        <v>44712</v>
      </c>
      <c r="P9" s="62">
        <v>44743</v>
      </c>
      <c r="Q9" s="62">
        <f>+P9</f>
        <v>44743</v>
      </c>
      <c r="R9" s="62">
        <v>44760</v>
      </c>
      <c r="S9" s="62">
        <f>+R9</f>
        <v>44760</v>
      </c>
      <c r="T9" s="62">
        <v>44774</v>
      </c>
      <c r="U9" s="62">
        <v>44806</v>
      </c>
      <c r="V9" s="84"/>
      <c r="W9" s="57">
        <v>44824</v>
      </c>
      <c r="X9" s="57">
        <v>44827</v>
      </c>
      <c r="Y9" s="57">
        <v>44858</v>
      </c>
      <c r="Z9" s="57">
        <v>44876</v>
      </c>
      <c r="AA9" s="59">
        <v>45058</v>
      </c>
    </row>
    <row r="10" spans="1:28" ht="60" customHeight="1" x14ac:dyDescent="0.25">
      <c r="A10" s="60">
        <v>2</v>
      </c>
      <c r="B10" s="56" t="s">
        <v>22</v>
      </c>
      <c r="C10" s="75" t="s">
        <v>152</v>
      </c>
      <c r="D10" s="56" t="s">
        <v>30</v>
      </c>
      <c r="E10" s="72" t="s">
        <v>177</v>
      </c>
      <c r="F10" s="72">
        <v>2449</v>
      </c>
      <c r="G10" s="56" t="s">
        <v>146</v>
      </c>
      <c r="H10" s="56" t="s">
        <v>180</v>
      </c>
      <c r="I10" s="72" t="s">
        <v>147</v>
      </c>
      <c r="J10" s="56" t="s">
        <v>22</v>
      </c>
      <c r="K10" s="56" t="s">
        <v>190</v>
      </c>
      <c r="L10" s="62">
        <v>44656</v>
      </c>
      <c r="M10" s="62">
        <v>44673</v>
      </c>
      <c r="N10" s="62">
        <v>44704</v>
      </c>
      <c r="O10" s="62">
        <v>44712</v>
      </c>
      <c r="P10" s="62">
        <v>44743</v>
      </c>
      <c r="Q10" s="62">
        <f>+P10</f>
        <v>44743</v>
      </c>
      <c r="R10" s="62">
        <v>44760</v>
      </c>
      <c r="S10" s="62">
        <f>+R10</f>
        <v>44760</v>
      </c>
      <c r="T10" s="62">
        <v>44774</v>
      </c>
      <c r="U10" s="62">
        <v>44806</v>
      </c>
      <c r="V10" s="84"/>
      <c r="W10" s="57">
        <v>44824</v>
      </c>
      <c r="X10" s="57">
        <v>44827</v>
      </c>
      <c r="Y10" s="57">
        <v>44858</v>
      </c>
      <c r="Z10" s="57">
        <v>44876</v>
      </c>
      <c r="AA10" s="59">
        <v>45058</v>
      </c>
    </row>
    <row r="11" spans="1:28" ht="60" customHeight="1" x14ac:dyDescent="0.25">
      <c r="A11" s="60">
        <v>3</v>
      </c>
      <c r="B11" s="56" t="s">
        <v>22</v>
      </c>
      <c r="C11" s="75" t="s">
        <v>208</v>
      </c>
      <c r="D11" s="58" t="s">
        <v>28</v>
      </c>
      <c r="E11" s="72" t="s">
        <v>177</v>
      </c>
      <c r="F11" s="72">
        <v>2421</v>
      </c>
      <c r="G11" s="56" t="s">
        <v>146</v>
      </c>
      <c r="H11" s="56" t="s">
        <v>180</v>
      </c>
      <c r="I11" s="72" t="s">
        <v>31</v>
      </c>
      <c r="J11" s="56" t="s">
        <v>22</v>
      </c>
      <c r="K11" s="56" t="s">
        <v>190</v>
      </c>
      <c r="L11" s="62">
        <v>44628</v>
      </c>
      <c r="M11" s="62">
        <v>44645</v>
      </c>
      <c r="N11" s="84"/>
      <c r="O11" s="62">
        <v>44649</v>
      </c>
      <c r="P11" s="62">
        <v>44680</v>
      </c>
      <c r="Q11" s="62">
        <f>+P11</f>
        <v>44680</v>
      </c>
      <c r="R11" s="62">
        <v>44694</v>
      </c>
      <c r="S11" s="62">
        <f>+R11</f>
        <v>44694</v>
      </c>
      <c r="T11" s="62">
        <v>44708</v>
      </c>
      <c r="U11" s="84"/>
      <c r="V11" s="84"/>
      <c r="W11" s="57">
        <v>44728</v>
      </c>
      <c r="X11" s="57">
        <v>44733</v>
      </c>
      <c r="Y11" s="57">
        <v>44760</v>
      </c>
      <c r="Z11" s="57">
        <v>44774</v>
      </c>
      <c r="AA11" s="59">
        <v>44896</v>
      </c>
    </row>
    <row r="12" spans="1:28" ht="60" customHeight="1" x14ac:dyDescent="0.25">
      <c r="A12" s="60">
        <v>4</v>
      </c>
      <c r="B12" s="56" t="s">
        <v>22</v>
      </c>
      <c r="C12" s="75" t="s">
        <v>209</v>
      </c>
      <c r="D12" s="58" t="s">
        <v>28</v>
      </c>
      <c r="E12" s="72" t="s">
        <v>177</v>
      </c>
      <c r="F12" s="72">
        <v>2449</v>
      </c>
      <c r="G12" s="56" t="s">
        <v>146</v>
      </c>
      <c r="H12" s="56" t="s">
        <v>180</v>
      </c>
      <c r="I12" s="72" t="s">
        <v>31</v>
      </c>
      <c r="J12" s="56" t="s">
        <v>22</v>
      </c>
      <c r="K12" s="56" t="s">
        <v>190</v>
      </c>
      <c r="L12" s="62">
        <v>44628</v>
      </c>
      <c r="M12" s="62">
        <v>44645</v>
      </c>
      <c r="N12" s="84"/>
      <c r="O12" s="62">
        <v>44649</v>
      </c>
      <c r="P12" s="62">
        <v>44680</v>
      </c>
      <c r="Q12" s="62">
        <f>+P12</f>
        <v>44680</v>
      </c>
      <c r="R12" s="62">
        <v>44694</v>
      </c>
      <c r="S12" s="62">
        <f>+R12</f>
        <v>44694</v>
      </c>
      <c r="T12" s="62">
        <v>44708</v>
      </c>
      <c r="U12" s="84"/>
      <c r="V12" s="84"/>
      <c r="W12" s="57">
        <v>44728</v>
      </c>
      <c r="X12" s="57">
        <v>44733</v>
      </c>
      <c r="Y12" s="57">
        <v>44760</v>
      </c>
      <c r="Z12" s="57">
        <v>44774</v>
      </c>
      <c r="AA12" s="59">
        <v>44896</v>
      </c>
    </row>
    <row r="13" spans="1:28" ht="60" customHeight="1" x14ac:dyDescent="0.25">
      <c r="A13" s="60">
        <v>5</v>
      </c>
      <c r="B13" s="56" t="s">
        <v>22</v>
      </c>
      <c r="C13" s="75" t="s">
        <v>159</v>
      </c>
      <c r="D13" s="56" t="s">
        <v>30</v>
      </c>
      <c r="E13" s="72" t="s">
        <v>177</v>
      </c>
      <c r="F13" s="72">
        <v>6221</v>
      </c>
      <c r="G13" s="56" t="s">
        <v>170</v>
      </c>
      <c r="H13" s="56" t="s">
        <v>180</v>
      </c>
      <c r="I13" s="72" t="s">
        <v>137</v>
      </c>
      <c r="J13" s="56" t="s">
        <v>22</v>
      </c>
      <c r="K13" s="58" t="s">
        <v>195</v>
      </c>
      <c r="L13" s="84"/>
      <c r="M13" s="84"/>
      <c r="N13" s="84"/>
      <c r="O13" s="84"/>
      <c r="P13" s="84"/>
      <c r="Q13" s="84"/>
      <c r="R13" s="84"/>
      <c r="S13" s="84"/>
      <c r="T13" s="84"/>
      <c r="U13" s="84"/>
      <c r="V13" s="84"/>
      <c r="W13" s="57">
        <v>44676</v>
      </c>
      <c r="X13" s="57">
        <v>44680</v>
      </c>
      <c r="Y13" s="57">
        <v>44711</v>
      </c>
      <c r="Z13" s="57">
        <v>44728</v>
      </c>
      <c r="AA13" s="59">
        <v>45825</v>
      </c>
    </row>
    <row r="14" spans="1:28" ht="60" customHeight="1" x14ac:dyDescent="0.25">
      <c r="A14" s="60">
        <v>6</v>
      </c>
      <c r="B14" s="56" t="s">
        <v>22</v>
      </c>
      <c r="C14" s="75" t="s">
        <v>206</v>
      </c>
      <c r="D14" s="56" t="s">
        <v>30</v>
      </c>
      <c r="E14" s="72" t="s">
        <v>177</v>
      </c>
      <c r="F14" s="72">
        <v>6221</v>
      </c>
      <c r="G14" s="56" t="s">
        <v>170</v>
      </c>
      <c r="H14" s="56" t="s">
        <v>180</v>
      </c>
      <c r="I14" s="72" t="s">
        <v>137</v>
      </c>
      <c r="J14" s="56" t="s">
        <v>22</v>
      </c>
      <c r="K14" s="58" t="s">
        <v>195</v>
      </c>
      <c r="L14" s="84"/>
      <c r="M14" s="84"/>
      <c r="N14" s="84"/>
      <c r="O14" s="110"/>
      <c r="P14" s="84"/>
      <c r="Q14" s="84"/>
      <c r="R14" s="84"/>
      <c r="S14" s="84"/>
      <c r="T14" s="84"/>
      <c r="U14" s="84"/>
      <c r="V14" s="84"/>
      <c r="W14" s="57">
        <v>44820</v>
      </c>
      <c r="X14" s="57">
        <v>44823</v>
      </c>
      <c r="Y14" s="57">
        <v>44854</v>
      </c>
      <c r="Z14" s="57">
        <v>44868</v>
      </c>
      <c r="AA14" s="59">
        <v>44929</v>
      </c>
    </row>
    <row r="15" spans="1:28" ht="60" customHeight="1" x14ac:dyDescent="0.25">
      <c r="A15" s="60">
        <v>7</v>
      </c>
      <c r="B15" s="56" t="s">
        <v>22</v>
      </c>
      <c r="C15" s="75" t="s">
        <v>217</v>
      </c>
      <c r="D15" s="58" t="s">
        <v>28</v>
      </c>
      <c r="E15" s="72" t="s">
        <v>183</v>
      </c>
      <c r="F15" s="72">
        <v>2119</v>
      </c>
      <c r="G15" s="56" t="s">
        <v>170</v>
      </c>
      <c r="H15" s="56" t="s">
        <v>180</v>
      </c>
      <c r="I15" s="72" t="s">
        <v>137</v>
      </c>
      <c r="J15" s="56" t="s">
        <v>22</v>
      </c>
      <c r="K15" s="58" t="s">
        <v>22</v>
      </c>
      <c r="L15" s="84"/>
      <c r="M15" s="84"/>
      <c r="N15" s="84"/>
      <c r="O15" s="110"/>
      <c r="P15" s="84"/>
      <c r="Q15" s="84"/>
      <c r="R15" s="84"/>
      <c r="S15" s="84"/>
      <c r="T15" s="84"/>
      <c r="U15" s="84"/>
      <c r="V15" s="84"/>
      <c r="W15" s="57">
        <v>44638</v>
      </c>
      <c r="X15" s="57">
        <v>44643</v>
      </c>
      <c r="Y15" s="57">
        <v>44676</v>
      </c>
      <c r="Z15" s="57">
        <v>44692</v>
      </c>
      <c r="AA15" s="59">
        <v>44969</v>
      </c>
    </row>
    <row r="16" spans="1:28" ht="60" customHeight="1" x14ac:dyDescent="0.25">
      <c r="A16" s="60">
        <v>8</v>
      </c>
      <c r="B16" s="56" t="s">
        <v>22</v>
      </c>
      <c r="C16" s="75" t="s">
        <v>218</v>
      </c>
      <c r="D16" s="58" t="s">
        <v>28</v>
      </c>
      <c r="E16" s="72" t="s">
        <v>183</v>
      </c>
      <c r="F16" s="72">
        <v>2119</v>
      </c>
      <c r="G16" s="56" t="s">
        <v>170</v>
      </c>
      <c r="H16" s="56" t="s">
        <v>180</v>
      </c>
      <c r="I16" s="72" t="s">
        <v>137</v>
      </c>
      <c r="J16" s="56" t="s">
        <v>22</v>
      </c>
      <c r="K16" s="56" t="s">
        <v>22</v>
      </c>
      <c r="L16" s="84"/>
      <c r="M16" s="84"/>
      <c r="N16" s="84"/>
      <c r="O16" s="84"/>
      <c r="P16" s="84"/>
      <c r="Q16" s="84"/>
      <c r="R16" s="84"/>
      <c r="S16" s="84"/>
      <c r="T16" s="84"/>
      <c r="U16" s="84"/>
      <c r="V16" s="84"/>
      <c r="W16" s="57">
        <v>44638</v>
      </c>
      <c r="X16" s="57">
        <v>44643</v>
      </c>
      <c r="Y16" s="57">
        <v>44676</v>
      </c>
      <c r="Z16" s="57">
        <v>44692</v>
      </c>
      <c r="AA16" s="88">
        <v>44969</v>
      </c>
      <c r="AB16" s="89"/>
    </row>
    <row r="17" spans="1:36" ht="60" customHeight="1" x14ac:dyDescent="0.25">
      <c r="A17" s="60">
        <v>9</v>
      </c>
      <c r="B17" s="56" t="s">
        <v>22</v>
      </c>
      <c r="C17" s="75" t="s">
        <v>207</v>
      </c>
      <c r="D17" s="58" t="s">
        <v>28</v>
      </c>
      <c r="E17" s="72" t="s">
        <v>183</v>
      </c>
      <c r="F17" s="72">
        <v>2449</v>
      </c>
      <c r="G17" s="56" t="s">
        <v>146</v>
      </c>
      <c r="H17" s="56" t="s">
        <v>180</v>
      </c>
      <c r="I17" s="72" t="s">
        <v>31</v>
      </c>
      <c r="J17" s="56" t="s">
        <v>22</v>
      </c>
      <c r="K17" s="56" t="s">
        <v>210</v>
      </c>
      <c r="L17" s="62">
        <v>44628</v>
      </c>
      <c r="M17" s="62">
        <v>44645</v>
      </c>
      <c r="N17" s="84"/>
      <c r="O17" s="62">
        <v>44649</v>
      </c>
      <c r="P17" s="62">
        <v>44680</v>
      </c>
      <c r="Q17" s="62">
        <f>+P17</f>
        <v>44680</v>
      </c>
      <c r="R17" s="62">
        <v>44694</v>
      </c>
      <c r="S17" s="62">
        <f>+R17</f>
        <v>44694</v>
      </c>
      <c r="T17" s="62">
        <v>44708</v>
      </c>
      <c r="U17" s="84"/>
      <c r="V17" s="84"/>
      <c r="W17" s="57">
        <v>44728</v>
      </c>
      <c r="X17" s="57">
        <v>44733</v>
      </c>
      <c r="Y17" s="57">
        <v>44760</v>
      </c>
      <c r="Z17" s="57">
        <v>44774</v>
      </c>
      <c r="AA17" s="59">
        <v>44896</v>
      </c>
    </row>
    <row r="18" spans="1:36" ht="60" customHeight="1" x14ac:dyDescent="0.25">
      <c r="A18" s="60">
        <v>10</v>
      </c>
      <c r="B18" s="56" t="s">
        <v>22</v>
      </c>
      <c r="C18" s="75" t="s">
        <v>141</v>
      </c>
      <c r="D18" s="58" t="s">
        <v>28</v>
      </c>
      <c r="E18" s="72" t="s">
        <v>184</v>
      </c>
      <c r="F18" s="72">
        <v>2355</v>
      </c>
      <c r="G18" s="56" t="s">
        <v>23</v>
      </c>
      <c r="H18" s="56" t="s">
        <v>180</v>
      </c>
      <c r="I18" s="56" t="s">
        <v>31</v>
      </c>
      <c r="J18" s="56" t="s">
        <v>22</v>
      </c>
      <c r="K18" s="56" t="s">
        <v>22</v>
      </c>
      <c r="L18" s="62">
        <v>44602</v>
      </c>
      <c r="M18" s="62">
        <v>44621</v>
      </c>
      <c r="N18" s="87"/>
      <c r="O18" s="62">
        <v>44628</v>
      </c>
      <c r="P18" s="62">
        <v>44659</v>
      </c>
      <c r="Q18" s="62">
        <f>+P18</f>
        <v>44659</v>
      </c>
      <c r="R18" s="62">
        <v>44674</v>
      </c>
      <c r="S18" s="62">
        <f>+R18</f>
        <v>44674</v>
      </c>
      <c r="T18" s="62">
        <v>44686</v>
      </c>
      <c r="U18" s="84"/>
      <c r="V18" s="84"/>
      <c r="W18" s="57">
        <v>44699</v>
      </c>
      <c r="X18" s="57">
        <v>44704</v>
      </c>
      <c r="Y18" s="57">
        <v>44732</v>
      </c>
      <c r="Z18" s="57">
        <v>44742</v>
      </c>
      <c r="AA18" s="59">
        <v>44834</v>
      </c>
    </row>
    <row r="19" spans="1:36" ht="60" customHeight="1" x14ac:dyDescent="0.25">
      <c r="A19" s="60">
        <v>11</v>
      </c>
      <c r="B19" s="56" t="s">
        <v>22</v>
      </c>
      <c r="C19" s="75" t="s">
        <v>145</v>
      </c>
      <c r="D19" s="58" t="s">
        <v>28</v>
      </c>
      <c r="E19" s="72" t="s">
        <v>178</v>
      </c>
      <c r="F19" s="72">
        <v>2351</v>
      </c>
      <c r="G19" s="56" t="s">
        <v>23</v>
      </c>
      <c r="H19" s="56" t="s">
        <v>180</v>
      </c>
      <c r="I19" s="56" t="s">
        <v>31</v>
      </c>
      <c r="J19" s="56" t="s">
        <v>22</v>
      </c>
      <c r="K19" s="56" t="s">
        <v>191</v>
      </c>
      <c r="L19" s="62">
        <v>44602</v>
      </c>
      <c r="M19" s="62">
        <v>44621</v>
      </c>
      <c r="N19" s="86"/>
      <c r="O19" s="62">
        <v>44628</v>
      </c>
      <c r="P19" s="62">
        <v>44659</v>
      </c>
      <c r="Q19" s="62">
        <f>+P19</f>
        <v>44659</v>
      </c>
      <c r="R19" s="62">
        <v>44674</v>
      </c>
      <c r="S19" s="62">
        <f>+R19</f>
        <v>44674</v>
      </c>
      <c r="T19" s="62">
        <v>44686</v>
      </c>
      <c r="U19" s="86"/>
      <c r="V19" s="86"/>
      <c r="W19" s="57">
        <v>44699</v>
      </c>
      <c r="X19" s="57">
        <v>44704</v>
      </c>
      <c r="Y19" s="57">
        <v>44732</v>
      </c>
      <c r="Z19" s="57">
        <v>44742</v>
      </c>
      <c r="AA19" s="59">
        <v>44834</v>
      </c>
    </row>
    <row r="20" spans="1:36" ht="60" customHeight="1" x14ac:dyDescent="0.25">
      <c r="A20" s="60">
        <v>12</v>
      </c>
      <c r="B20" s="56" t="s">
        <v>22</v>
      </c>
      <c r="C20" s="75" t="s">
        <v>205</v>
      </c>
      <c r="D20" s="58" t="s">
        <v>28</v>
      </c>
      <c r="E20" s="72" t="s">
        <v>178</v>
      </c>
      <c r="F20" s="72">
        <v>2343</v>
      </c>
      <c r="G20" s="56" t="s">
        <v>23</v>
      </c>
      <c r="H20" s="56" t="s">
        <v>180</v>
      </c>
      <c r="I20" s="56" t="s">
        <v>31</v>
      </c>
      <c r="J20" s="56" t="s">
        <v>22</v>
      </c>
      <c r="K20" s="56" t="s">
        <v>191</v>
      </c>
      <c r="L20" s="62">
        <v>44440</v>
      </c>
      <c r="M20" s="62">
        <v>44449</v>
      </c>
      <c r="N20" s="86"/>
      <c r="O20" s="62">
        <v>44453</v>
      </c>
      <c r="P20" s="62">
        <v>44484</v>
      </c>
      <c r="Q20" s="62">
        <f>+P20</f>
        <v>44484</v>
      </c>
      <c r="R20" s="62">
        <v>44580</v>
      </c>
      <c r="S20" s="62">
        <f>+R20</f>
        <v>44580</v>
      </c>
      <c r="T20" s="62">
        <v>44592</v>
      </c>
      <c r="U20" s="86"/>
      <c r="V20" s="86"/>
      <c r="W20" s="57">
        <v>44609</v>
      </c>
      <c r="X20" s="57">
        <v>44614</v>
      </c>
      <c r="Y20" s="57">
        <v>44641</v>
      </c>
      <c r="Z20" s="57">
        <v>44652</v>
      </c>
      <c r="AA20" s="59">
        <v>44896</v>
      </c>
    </row>
    <row r="21" spans="1:36" ht="60" customHeight="1" x14ac:dyDescent="0.25">
      <c r="A21" s="60">
        <v>13</v>
      </c>
      <c r="B21" s="56" t="s">
        <v>22</v>
      </c>
      <c r="C21" s="82" t="s">
        <v>185</v>
      </c>
      <c r="D21" s="58" t="s">
        <v>30</v>
      </c>
      <c r="E21" s="56" t="s">
        <v>178</v>
      </c>
      <c r="F21" s="56">
        <v>6221</v>
      </c>
      <c r="G21" s="56" t="s">
        <v>170</v>
      </c>
      <c r="H21" s="56" t="s">
        <v>180</v>
      </c>
      <c r="I21" s="56" t="s">
        <v>137</v>
      </c>
      <c r="J21" s="56" t="s">
        <v>22</v>
      </c>
      <c r="K21" s="58" t="s">
        <v>195</v>
      </c>
      <c r="L21" s="85"/>
      <c r="M21" s="85"/>
      <c r="N21" s="86"/>
      <c r="O21" s="85"/>
      <c r="P21" s="85"/>
      <c r="Q21" s="85"/>
      <c r="R21" s="85"/>
      <c r="S21" s="85"/>
      <c r="T21" s="85"/>
      <c r="U21" s="86"/>
      <c r="V21" s="86"/>
      <c r="W21" s="57">
        <v>44855</v>
      </c>
      <c r="X21" s="57">
        <v>44860</v>
      </c>
      <c r="Y21" s="57">
        <v>44893</v>
      </c>
      <c r="Z21" s="57">
        <v>44910</v>
      </c>
      <c r="AA21" s="59">
        <v>46007</v>
      </c>
    </row>
    <row r="22" spans="1:36" ht="60" customHeight="1" x14ac:dyDescent="0.25">
      <c r="A22" s="60">
        <v>14</v>
      </c>
      <c r="B22" s="56" t="s">
        <v>22</v>
      </c>
      <c r="C22" s="75" t="s">
        <v>156</v>
      </c>
      <c r="D22" s="58" t="s">
        <v>28</v>
      </c>
      <c r="E22" s="56" t="s">
        <v>178</v>
      </c>
      <c r="F22" s="56">
        <v>2119</v>
      </c>
      <c r="G22" s="56" t="s">
        <v>170</v>
      </c>
      <c r="H22" s="56" t="s">
        <v>180</v>
      </c>
      <c r="I22" s="56" t="s">
        <v>137</v>
      </c>
      <c r="J22" s="56" t="s">
        <v>22</v>
      </c>
      <c r="K22" s="56" t="s">
        <v>22</v>
      </c>
      <c r="L22" s="85"/>
      <c r="M22" s="85"/>
      <c r="N22" s="86"/>
      <c r="O22" s="85"/>
      <c r="P22" s="85"/>
      <c r="Q22" s="85"/>
      <c r="R22" s="85"/>
      <c r="S22" s="85"/>
      <c r="T22" s="85"/>
      <c r="U22" s="86"/>
      <c r="V22" s="86"/>
      <c r="W22" s="57">
        <v>44638</v>
      </c>
      <c r="X22" s="57">
        <v>44643</v>
      </c>
      <c r="Y22" s="57">
        <v>44676</v>
      </c>
      <c r="Z22" s="57">
        <v>44692</v>
      </c>
      <c r="AA22" s="88">
        <v>44969</v>
      </c>
      <c r="AB22" s="89"/>
    </row>
    <row r="23" spans="1:36" ht="60" customHeight="1" x14ac:dyDescent="0.25">
      <c r="A23" s="60">
        <v>15</v>
      </c>
      <c r="B23" s="56" t="s">
        <v>22</v>
      </c>
      <c r="C23" s="75" t="s">
        <v>148</v>
      </c>
      <c r="D23" s="58" t="s">
        <v>28</v>
      </c>
      <c r="E23" s="56" t="s">
        <v>178</v>
      </c>
      <c r="F23" s="56">
        <v>2119</v>
      </c>
      <c r="G23" s="56" t="s">
        <v>170</v>
      </c>
      <c r="H23" s="56" t="s">
        <v>180</v>
      </c>
      <c r="I23" s="56" t="s">
        <v>137</v>
      </c>
      <c r="J23" s="56" t="s">
        <v>22</v>
      </c>
      <c r="K23" s="56" t="s">
        <v>22</v>
      </c>
      <c r="L23" s="85"/>
      <c r="M23" s="85"/>
      <c r="N23" s="86"/>
      <c r="O23" s="85"/>
      <c r="P23" s="85"/>
      <c r="Q23" s="85"/>
      <c r="R23" s="85"/>
      <c r="S23" s="85"/>
      <c r="T23" s="85"/>
      <c r="U23" s="86"/>
      <c r="V23" s="86"/>
      <c r="W23" s="57">
        <v>44638</v>
      </c>
      <c r="X23" s="57">
        <v>44643</v>
      </c>
      <c r="Y23" s="57">
        <v>44676</v>
      </c>
      <c r="Z23" s="57">
        <v>44692</v>
      </c>
      <c r="AA23" s="88">
        <v>44969</v>
      </c>
      <c r="AB23" s="89"/>
    </row>
    <row r="24" spans="1:36" ht="60" customHeight="1" x14ac:dyDescent="0.25">
      <c r="A24" s="60">
        <v>16</v>
      </c>
      <c r="B24" s="56" t="s">
        <v>22</v>
      </c>
      <c r="C24" s="75" t="s">
        <v>155</v>
      </c>
      <c r="D24" s="58" t="s">
        <v>28</v>
      </c>
      <c r="E24" s="56" t="s">
        <v>178</v>
      </c>
      <c r="F24" s="56">
        <v>2119</v>
      </c>
      <c r="G24" s="56" t="s">
        <v>170</v>
      </c>
      <c r="H24" s="56" t="s">
        <v>180</v>
      </c>
      <c r="I24" s="56" t="s">
        <v>137</v>
      </c>
      <c r="J24" s="56" t="s">
        <v>22</v>
      </c>
      <c r="K24" s="56" t="s">
        <v>22</v>
      </c>
      <c r="L24" s="85"/>
      <c r="M24" s="85"/>
      <c r="N24" s="86"/>
      <c r="O24" s="85"/>
      <c r="P24" s="85"/>
      <c r="Q24" s="85"/>
      <c r="R24" s="85"/>
      <c r="S24" s="85"/>
      <c r="T24" s="85"/>
      <c r="U24" s="86"/>
      <c r="V24" s="86"/>
      <c r="W24" s="57">
        <v>44638</v>
      </c>
      <c r="X24" s="57">
        <v>44643</v>
      </c>
      <c r="Y24" s="57">
        <v>44676</v>
      </c>
      <c r="Z24" s="57">
        <v>44692</v>
      </c>
      <c r="AA24" s="59">
        <v>44969</v>
      </c>
    </row>
    <row r="25" spans="1:36" ht="24" customHeight="1" x14ac:dyDescent="0.25">
      <c r="A25" s="214">
        <v>17</v>
      </c>
      <c r="B25" s="217" t="s">
        <v>22</v>
      </c>
      <c r="C25" s="220" t="s">
        <v>165</v>
      </c>
      <c r="D25" s="223" t="s">
        <v>28</v>
      </c>
      <c r="E25" s="56" t="s">
        <v>186</v>
      </c>
      <c r="F25" s="56"/>
      <c r="G25" s="217" t="s">
        <v>170</v>
      </c>
      <c r="H25" s="56" t="s">
        <v>180</v>
      </c>
      <c r="I25" s="217" t="s">
        <v>137</v>
      </c>
      <c r="J25" s="217" t="s">
        <v>22</v>
      </c>
      <c r="K25" s="217" t="s">
        <v>22</v>
      </c>
      <c r="L25" s="229"/>
      <c r="M25" s="229"/>
      <c r="N25" s="226"/>
      <c r="O25" s="229"/>
      <c r="P25" s="229"/>
      <c r="Q25" s="229"/>
      <c r="R25" s="229"/>
      <c r="S25" s="229"/>
      <c r="T25" s="229"/>
      <c r="U25" s="226"/>
      <c r="V25" s="226"/>
      <c r="W25" s="57">
        <v>44638</v>
      </c>
      <c r="X25" s="57">
        <v>44643</v>
      </c>
      <c r="Y25" s="57">
        <v>44676</v>
      </c>
      <c r="Z25" s="57">
        <v>44692</v>
      </c>
      <c r="AA25" s="59">
        <v>44969</v>
      </c>
    </row>
    <row r="26" spans="1:36" ht="24" customHeight="1" x14ac:dyDescent="0.25">
      <c r="A26" s="215"/>
      <c r="B26" s="218"/>
      <c r="C26" s="221"/>
      <c r="D26" s="224"/>
      <c r="E26" s="56" t="s">
        <v>187</v>
      </c>
      <c r="F26" s="56"/>
      <c r="G26" s="218"/>
      <c r="H26" s="56" t="s">
        <v>180</v>
      </c>
      <c r="I26" s="218"/>
      <c r="J26" s="218"/>
      <c r="K26" s="218"/>
      <c r="L26" s="230"/>
      <c r="M26" s="230"/>
      <c r="N26" s="227"/>
      <c r="O26" s="230"/>
      <c r="P26" s="230"/>
      <c r="Q26" s="230"/>
      <c r="R26" s="230"/>
      <c r="S26" s="230"/>
      <c r="T26" s="230"/>
      <c r="U26" s="227"/>
      <c r="V26" s="227"/>
      <c r="W26" s="57">
        <v>44638</v>
      </c>
      <c r="X26" s="57">
        <v>44643</v>
      </c>
      <c r="Y26" s="57">
        <v>44676</v>
      </c>
      <c r="Z26" s="57">
        <v>44692</v>
      </c>
      <c r="AA26" s="59">
        <v>44969</v>
      </c>
    </row>
    <row r="27" spans="1:36" ht="24" customHeight="1" x14ac:dyDescent="0.25">
      <c r="A27" s="216"/>
      <c r="B27" s="219"/>
      <c r="C27" s="222"/>
      <c r="D27" s="225"/>
      <c r="E27" s="56" t="s">
        <v>188</v>
      </c>
      <c r="F27" s="56"/>
      <c r="G27" s="219"/>
      <c r="H27" s="56" t="s">
        <v>180</v>
      </c>
      <c r="I27" s="219"/>
      <c r="J27" s="219"/>
      <c r="K27" s="219"/>
      <c r="L27" s="231"/>
      <c r="M27" s="231"/>
      <c r="N27" s="228"/>
      <c r="O27" s="231"/>
      <c r="P27" s="231"/>
      <c r="Q27" s="231"/>
      <c r="R27" s="231"/>
      <c r="S27" s="231"/>
      <c r="T27" s="231"/>
      <c r="U27" s="228"/>
      <c r="V27" s="228"/>
      <c r="W27" s="57">
        <v>44638</v>
      </c>
      <c r="X27" s="57">
        <v>44643</v>
      </c>
      <c r="Y27" s="57">
        <v>44676</v>
      </c>
      <c r="Z27" s="57">
        <v>44692</v>
      </c>
      <c r="AA27" s="59">
        <v>44969</v>
      </c>
    </row>
    <row r="28" spans="1:36" ht="18.75" thickBot="1" x14ac:dyDescent="0.3">
      <c r="A28" s="23"/>
      <c r="B28" s="209" t="s">
        <v>214</v>
      </c>
      <c r="C28" s="210"/>
      <c r="D28" s="210"/>
      <c r="E28" s="210"/>
      <c r="F28" s="210"/>
      <c r="G28" s="210"/>
      <c r="H28" s="210"/>
      <c r="I28" s="210"/>
      <c r="J28" s="210"/>
      <c r="K28" s="210"/>
      <c r="L28" s="210"/>
      <c r="M28" s="210"/>
      <c r="N28" s="210"/>
      <c r="O28" s="210"/>
      <c r="P28" s="210"/>
      <c r="Q28" s="210"/>
      <c r="R28" s="210"/>
      <c r="S28" s="210"/>
      <c r="T28" s="210"/>
      <c r="U28" s="210"/>
      <c r="V28" s="210"/>
      <c r="W28" s="210"/>
      <c r="X28" s="210"/>
      <c r="Y28" s="210"/>
      <c r="Z28" s="210"/>
      <c r="AA28" s="211"/>
    </row>
    <row r="29" spans="1:36" ht="9" customHeight="1"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spans="1:36" x14ac:dyDescent="0.25">
      <c r="A30" s="29" t="s">
        <v>62</v>
      </c>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33"/>
      <c r="AC30" s="33"/>
      <c r="AD30" s="33"/>
      <c r="AE30" s="33"/>
      <c r="AF30" s="33"/>
      <c r="AG30" s="31"/>
      <c r="AH30" s="31"/>
      <c r="AI30" s="31"/>
      <c r="AJ30" s="31"/>
    </row>
    <row r="31" spans="1:36" ht="18.75" customHeight="1" x14ac:dyDescent="0.25">
      <c r="A31" s="34" t="s">
        <v>63</v>
      </c>
      <c r="B31" s="30"/>
      <c r="C31" s="30"/>
      <c r="D31" s="30"/>
      <c r="E31" s="30"/>
      <c r="F31" s="30"/>
      <c r="G31" s="30"/>
      <c r="H31" s="30"/>
      <c r="I31" s="31"/>
      <c r="J31" s="30"/>
      <c r="K31" s="30"/>
      <c r="L31" s="30"/>
      <c r="M31" s="30"/>
      <c r="N31" s="30"/>
      <c r="O31" s="30"/>
      <c r="P31" s="30"/>
      <c r="Q31" s="30"/>
      <c r="R31" s="30"/>
      <c r="S31" s="30"/>
      <c r="T31" s="30"/>
      <c r="U31" s="30"/>
      <c r="V31" s="32"/>
      <c r="W31" s="32"/>
      <c r="X31" s="32"/>
      <c r="Y31" s="32"/>
      <c r="Z31" s="32"/>
      <c r="AA31" s="32"/>
      <c r="AB31" s="33"/>
      <c r="AC31" s="33"/>
      <c r="AD31" s="33"/>
      <c r="AE31" s="33"/>
      <c r="AF31" s="33"/>
      <c r="AG31" s="31"/>
      <c r="AH31" s="31"/>
      <c r="AI31" s="31"/>
      <c r="AJ31" s="31"/>
    </row>
    <row r="32" spans="1:36" ht="18.75" customHeight="1" x14ac:dyDescent="0.25">
      <c r="A32" s="34" t="s">
        <v>64</v>
      </c>
      <c r="B32" s="34"/>
      <c r="C32" s="34"/>
      <c r="D32" s="34"/>
      <c r="E32" s="34"/>
      <c r="F32" s="34"/>
      <c r="G32" s="34"/>
      <c r="H32" s="34"/>
      <c r="I32" s="34"/>
      <c r="J32" s="34"/>
      <c r="K32" s="34"/>
      <c r="L32" s="34"/>
      <c r="M32" s="34"/>
      <c r="N32" s="34"/>
      <c r="O32" s="34"/>
      <c r="P32" s="34"/>
      <c r="Q32" s="34"/>
      <c r="R32" s="34"/>
      <c r="S32" s="30"/>
      <c r="T32" s="30"/>
      <c r="U32" s="31"/>
      <c r="V32" s="33"/>
      <c r="W32" s="33"/>
      <c r="X32" s="33"/>
      <c r="Y32" s="33"/>
      <c r="Z32" s="33"/>
      <c r="AA32" s="33"/>
      <c r="AB32" s="33"/>
      <c r="AC32" s="33"/>
      <c r="AD32" s="33"/>
      <c r="AE32" s="33"/>
      <c r="AF32" s="33"/>
      <c r="AG32" s="31"/>
      <c r="AH32" s="31"/>
      <c r="AI32" s="31"/>
      <c r="AJ32" s="31"/>
    </row>
    <row r="33" spans="1:36" ht="18.75" customHeight="1" x14ac:dyDescent="0.25">
      <c r="A33" s="34" t="s">
        <v>65</v>
      </c>
      <c r="B33" s="34"/>
      <c r="C33" s="34"/>
      <c r="D33" s="34"/>
      <c r="E33" s="34"/>
      <c r="F33" s="34"/>
      <c r="G33" s="34"/>
      <c r="H33" s="34"/>
      <c r="I33" s="34"/>
      <c r="J33" s="34"/>
      <c r="K33" s="34"/>
      <c r="L33" s="34"/>
      <c r="M33" s="34"/>
      <c r="N33" s="34"/>
      <c r="O33" s="34"/>
      <c r="P33" s="34"/>
      <c r="Q33" s="34"/>
      <c r="R33" s="34"/>
      <c r="S33" s="30"/>
      <c r="T33" s="30"/>
      <c r="U33" s="31"/>
      <c r="V33" s="33"/>
      <c r="W33" s="33"/>
      <c r="X33" s="33"/>
      <c r="Y33" s="33"/>
      <c r="Z33" s="33"/>
      <c r="AA33" s="33"/>
      <c r="AB33" s="33"/>
      <c r="AC33" s="33"/>
      <c r="AD33" s="33"/>
      <c r="AE33" s="33"/>
      <c r="AF33" s="33"/>
      <c r="AG33" s="31"/>
      <c r="AH33" s="31"/>
      <c r="AI33" s="31"/>
      <c r="AJ33" s="31"/>
    </row>
    <row r="34" spans="1:36" ht="18.75" customHeight="1" x14ac:dyDescent="0.25">
      <c r="A34" s="34" t="s">
        <v>66</v>
      </c>
      <c r="B34" s="34"/>
      <c r="C34" s="34"/>
      <c r="D34" s="34"/>
      <c r="E34" s="34"/>
      <c r="F34" s="34"/>
      <c r="G34" s="34"/>
      <c r="H34" s="34"/>
      <c r="I34" s="34"/>
      <c r="J34" s="34"/>
      <c r="K34" s="34"/>
      <c r="L34" s="34"/>
      <c r="M34" s="34"/>
      <c r="N34" s="34"/>
      <c r="O34" s="34"/>
      <c r="P34" s="34"/>
      <c r="Q34" s="34"/>
      <c r="R34" s="34"/>
      <c r="S34" s="30"/>
      <c r="T34" s="30"/>
      <c r="U34" s="31"/>
      <c r="V34" s="33"/>
      <c r="W34" s="33"/>
      <c r="X34" s="33"/>
      <c r="Y34" s="33"/>
      <c r="Z34" s="33"/>
      <c r="AA34" s="33"/>
      <c r="AB34" s="33"/>
      <c r="AC34" s="33"/>
      <c r="AD34" s="33"/>
      <c r="AE34" s="33"/>
      <c r="AF34" s="33"/>
      <c r="AG34" s="31"/>
      <c r="AH34" s="31"/>
      <c r="AI34" s="31"/>
      <c r="AJ34" s="31"/>
    </row>
    <row r="35" spans="1:36" ht="42" customHeight="1" x14ac:dyDescent="0.25">
      <c r="A35" s="212" t="s">
        <v>67</v>
      </c>
      <c r="B35" s="212"/>
      <c r="C35" s="212"/>
      <c r="D35" s="212"/>
      <c r="E35" s="212"/>
      <c r="F35" s="212"/>
      <c r="G35" s="212"/>
      <c r="H35" s="212"/>
      <c r="I35" s="212"/>
      <c r="J35" s="212"/>
      <c r="K35" s="212"/>
      <c r="L35" s="212"/>
      <c r="M35" s="212"/>
      <c r="N35" s="212"/>
      <c r="O35" s="212"/>
      <c r="P35" s="212"/>
      <c r="Q35" s="212"/>
      <c r="R35" s="212"/>
      <c r="S35" s="30"/>
      <c r="T35" s="30"/>
      <c r="U35" s="31"/>
      <c r="V35" s="33"/>
      <c r="W35" s="33"/>
      <c r="X35" s="33"/>
      <c r="Y35" s="33"/>
      <c r="Z35" s="33"/>
      <c r="AA35" s="33"/>
      <c r="AB35" s="33"/>
      <c r="AC35" s="33"/>
      <c r="AD35" s="33"/>
      <c r="AE35" s="33"/>
      <c r="AF35" s="33"/>
      <c r="AG35" s="31"/>
      <c r="AH35" s="31"/>
      <c r="AI35" s="31"/>
      <c r="AJ35" s="31"/>
    </row>
    <row r="36" spans="1:36" ht="17.25" customHeight="1" x14ac:dyDescent="0.25">
      <c r="A36" s="34" t="s">
        <v>68</v>
      </c>
      <c r="B36" s="52"/>
      <c r="C36" s="52"/>
      <c r="D36" s="52"/>
      <c r="E36" s="52"/>
      <c r="F36" s="52"/>
      <c r="G36" s="52"/>
      <c r="H36" s="52"/>
      <c r="I36" s="52"/>
      <c r="J36" s="52"/>
      <c r="K36" s="52"/>
      <c r="L36" s="52"/>
      <c r="M36" s="52"/>
      <c r="N36" s="52"/>
      <c r="O36" s="52"/>
      <c r="P36" s="52"/>
      <c r="Q36" s="52"/>
      <c r="R36" s="30"/>
      <c r="S36" s="30"/>
      <c r="T36" s="30"/>
      <c r="U36" s="31"/>
      <c r="V36" s="33"/>
      <c r="W36" s="33"/>
      <c r="X36" s="33"/>
      <c r="Y36" s="33"/>
      <c r="Z36" s="33"/>
      <c r="AA36" s="33"/>
      <c r="AB36" s="33"/>
      <c r="AC36" s="33"/>
      <c r="AD36" s="33"/>
      <c r="AE36" s="33"/>
      <c r="AF36" s="33"/>
      <c r="AG36" s="31"/>
      <c r="AH36" s="31"/>
      <c r="AI36" s="31"/>
      <c r="AJ36" s="31"/>
    </row>
    <row r="37" spans="1:36" s="30" customFormat="1" ht="15.75" customHeight="1" x14ac:dyDescent="0.25">
      <c r="A37" s="34" t="s">
        <v>69</v>
      </c>
      <c r="B37" s="34"/>
      <c r="C37" s="34"/>
      <c r="D37" s="34"/>
      <c r="E37" s="34"/>
      <c r="F37" s="34"/>
      <c r="G37" s="34"/>
      <c r="H37" s="34"/>
      <c r="I37" s="34"/>
      <c r="J37" s="34"/>
      <c r="K37" s="34"/>
      <c r="L37" s="34"/>
      <c r="M37" s="34"/>
      <c r="N37" s="34"/>
      <c r="O37" s="34"/>
      <c r="P37" s="34"/>
      <c r="Q37" s="34"/>
      <c r="R37" s="34"/>
      <c r="S37" s="31"/>
      <c r="T37" s="31"/>
      <c r="U37" s="31"/>
      <c r="V37" s="33"/>
      <c r="W37" s="33"/>
      <c r="X37" s="33"/>
      <c r="Y37" s="33"/>
      <c r="Z37" s="33"/>
      <c r="AA37" s="33"/>
    </row>
    <row r="38" spans="1:36" s="30" customFormat="1" ht="17.25" customHeight="1" x14ac:dyDescent="0.25">
      <c r="A38" s="34" t="s">
        <v>70</v>
      </c>
      <c r="B38" s="34"/>
      <c r="C38" s="34"/>
      <c r="D38" s="34"/>
      <c r="E38" s="34"/>
      <c r="F38" s="34"/>
      <c r="G38" s="34"/>
      <c r="H38" s="34"/>
      <c r="I38" s="34"/>
      <c r="J38" s="34"/>
      <c r="K38" s="34"/>
      <c r="L38" s="34"/>
      <c r="M38" s="34"/>
      <c r="N38" s="34"/>
      <c r="O38" s="34"/>
      <c r="P38" s="34"/>
      <c r="Q38" s="34"/>
      <c r="R38" s="34"/>
    </row>
    <row r="39" spans="1:36" s="30" customFormat="1" ht="17.25" customHeight="1" x14ac:dyDescent="0.25">
      <c r="A39" s="34" t="s">
        <v>71</v>
      </c>
      <c r="B39" s="34"/>
      <c r="C39" s="34"/>
      <c r="D39" s="34"/>
      <c r="E39" s="34"/>
      <c r="F39" s="34"/>
      <c r="G39" s="34"/>
      <c r="H39" s="34"/>
      <c r="I39" s="34"/>
      <c r="J39" s="34"/>
      <c r="K39" s="34"/>
      <c r="L39" s="34"/>
      <c r="M39" s="34"/>
      <c r="N39" s="34"/>
      <c r="O39" s="34"/>
      <c r="P39" s="34"/>
      <c r="Q39" s="34"/>
      <c r="R39" s="34"/>
    </row>
    <row r="40" spans="1:36" s="30" customFormat="1" ht="12.75" x14ac:dyDescent="0.25">
      <c r="B40" s="34"/>
      <c r="C40" s="34"/>
      <c r="D40" s="34"/>
      <c r="E40" s="34"/>
      <c r="F40" s="34"/>
      <c r="G40" s="34"/>
      <c r="H40" s="34"/>
      <c r="I40" s="34"/>
      <c r="J40" s="34"/>
      <c r="K40" s="34"/>
      <c r="L40" s="34"/>
      <c r="M40" s="34"/>
      <c r="N40" s="34"/>
      <c r="O40" s="34"/>
      <c r="P40" s="34"/>
      <c r="Q40" s="34"/>
    </row>
    <row r="41" spans="1:36" x14ac:dyDescent="0.25">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row>
  </sheetData>
  <mergeCells count="44">
    <mergeCell ref="R25:R27"/>
    <mergeCell ref="S25:S27"/>
    <mergeCell ref="T25:T27"/>
    <mergeCell ref="U25:U27"/>
    <mergeCell ref="V25:V27"/>
    <mergeCell ref="O25:O27"/>
    <mergeCell ref="P25:P27"/>
    <mergeCell ref="Q25:Q27"/>
    <mergeCell ref="I25:I27"/>
    <mergeCell ref="J25:J27"/>
    <mergeCell ref="K25:K27"/>
    <mergeCell ref="L25:L27"/>
    <mergeCell ref="M25:M27"/>
    <mergeCell ref="B28:AA28"/>
    <mergeCell ref="A35:R35"/>
    <mergeCell ref="W7:X7"/>
    <mergeCell ref="Y7:Y8"/>
    <mergeCell ref="P7:Q7"/>
    <mergeCell ref="R7:R8"/>
    <mergeCell ref="S7:S8"/>
    <mergeCell ref="T7:U7"/>
    <mergeCell ref="V7:V8"/>
    <mergeCell ref="E7:E8"/>
    <mergeCell ref="A25:A27"/>
    <mergeCell ref="B25:B27"/>
    <mergeCell ref="C25:C27"/>
    <mergeCell ref="D25:D27"/>
    <mergeCell ref="G25:G27"/>
    <mergeCell ref="N25:N27"/>
    <mergeCell ref="A1:AA1"/>
    <mergeCell ref="A7:A8"/>
    <mergeCell ref="B7:B8"/>
    <mergeCell ref="C7:C8"/>
    <mergeCell ref="D7:D8"/>
    <mergeCell ref="F7:F8"/>
    <mergeCell ref="G7:G8"/>
    <mergeCell ref="H7:H8"/>
    <mergeCell ref="I7:I8"/>
    <mergeCell ref="J7:J8"/>
    <mergeCell ref="Z7:AA7"/>
    <mergeCell ref="K7:K8"/>
    <mergeCell ref="L7:L8"/>
    <mergeCell ref="M7:N7"/>
    <mergeCell ref="O7:O8"/>
  </mergeCells>
  <printOptions horizontalCentered="1"/>
  <pageMargins left="0" right="0" top="0" bottom="0" header="0" footer="0"/>
  <pageSetup paperSize="8" scale="5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46"/>
  <sheetViews>
    <sheetView topLeftCell="A8" workbookViewId="0">
      <selection activeCell="C27" sqref="C27:C28"/>
    </sheetView>
  </sheetViews>
  <sheetFormatPr baseColWidth="10" defaultColWidth="11.42578125" defaultRowHeight="15" x14ac:dyDescent="0.25"/>
  <cols>
    <col min="1" max="1" width="6.85546875" style="18" customWidth="1"/>
    <col min="2" max="2" width="11.7109375" style="18" customWidth="1"/>
    <col min="3" max="3" width="40.7109375" style="18" customWidth="1"/>
    <col min="4" max="5" width="11.7109375" style="18" customWidth="1"/>
    <col min="6" max="6" width="10.28515625" style="18" customWidth="1"/>
    <col min="7" max="7" width="12.140625" style="18" customWidth="1"/>
    <col min="8" max="8" width="9.140625" style="18" customWidth="1"/>
    <col min="9" max="9" width="9.28515625" style="18" customWidth="1"/>
    <col min="10" max="10" width="16.140625" style="18" customWidth="1"/>
    <col min="11" max="11" width="12.140625" style="18" customWidth="1"/>
    <col min="12" max="12" width="11.42578125" style="18" customWidth="1"/>
    <col min="13" max="14" width="9.85546875" style="18" bestFit="1" customWidth="1"/>
    <col min="15" max="15" width="15.5703125" style="18" customWidth="1"/>
    <col min="16" max="16" width="12" style="18" customWidth="1"/>
    <col min="17" max="17" width="11.42578125" style="18" customWidth="1"/>
    <col min="18" max="18" width="11.28515625" style="18" customWidth="1"/>
    <col min="19" max="21" width="10" style="18" customWidth="1"/>
    <col min="22" max="23" width="9.85546875" style="18" bestFit="1" customWidth="1"/>
    <col min="24" max="24" width="10.140625" style="18" bestFit="1" customWidth="1"/>
    <col min="25" max="25" width="10" style="18" customWidth="1"/>
    <col min="26" max="26" width="11.140625" style="18" customWidth="1"/>
    <col min="27" max="27" width="7.7109375" style="18" hidden="1" customWidth="1"/>
    <col min="28" max="28" width="11.7109375" style="18" customWidth="1"/>
    <col min="29" max="30" width="8.7109375" style="18" bestFit="1" customWidth="1"/>
    <col min="31" max="16384" width="11.42578125" style="18"/>
  </cols>
  <sheetData>
    <row r="1" spans="1:30" ht="17.25" customHeight="1" x14ac:dyDescent="0.25">
      <c r="A1" s="200" t="s">
        <v>34</v>
      </c>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row>
    <row r="2" spans="1:30" ht="22.5" x14ac:dyDescent="0.25">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row>
    <row r="3" spans="1:30" ht="19.899999999999999" customHeight="1" x14ac:dyDescent="0.25">
      <c r="A3" s="19"/>
      <c r="B3" s="19"/>
      <c r="C3" s="19"/>
      <c r="D3" s="19"/>
      <c r="E3" s="19"/>
      <c r="F3" s="19"/>
      <c r="G3" s="19"/>
      <c r="H3" s="19"/>
      <c r="I3" s="19"/>
      <c r="J3" s="19"/>
      <c r="K3" s="19"/>
      <c r="L3" s="19"/>
      <c r="M3" s="19"/>
      <c r="N3" s="19"/>
      <c r="P3" s="20" t="s">
        <v>6</v>
      </c>
      <c r="R3" s="19">
        <v>2022</v>
      </c>
      <c r="S3" s="19"/>
      <c r="T3" s="19"/>
      <c r="U3" s="19"/>
      <c r="V3" s="19"/>
      <c r="W3" s="19"/>
      <c r="X3" s="19"/>
      <c r="Y3" s="19"/>
      <c r="Z3" s="19"/>
      <c r="AA3" s="19"/>
      <c r="AB3" s="19"/>
      <c r="AC3" s="19"/>
      <c r="AD3" s="19"/>
    </row>
    <row r="4" spans="1:30" ht="19.899999999999999" customHeight="1" x14ac:dyDescent="0.25">
      <c r="A4" s="19"/>
      <c r="B4" s="19"/>
      <c r="C4" s="19"/>
      <c r="D4" s="19"/>
      <c r="E4" s="19"/>
      <c r="F4" s="19"/>
      <c r="G4" s="19"/>
      <c r="H4" s="19"/>
      <c r="I4" s="19"/>
      <c r="J4" s="19"/>
      <c r="K4" s="19"/>
      <c r="L4" s="19"/>
      <c r="M4" s="19"/>
      <c r="N4" s="19"/>
      <c r="P4" s="21" t="s">
        <v>35</v>
      </c>
      <c r="R4" s="19">
        <v>33</v>
      </c>
      <c r="S4" s="19"/>
      <c r="T4" s="19"/>
      <c r="U4" s="19"/>
      <c r="V4" s="19"/>
      <c r="W4" s="19"/>
      <c r="X4" s="19"/>
      <c r="Y4" s="19"/>
      <c r="Z4" s="19"/>
      <c r="AA4" s="19"/>
      <c r="AB4" s="19"/>
      <c r="AC4" s="19"/>
      <c r="AD4" s="19"/>
    </row>
    <row r="5" spans="1:30" ht="19.899999999999999" customHeight="1" x14ac:dyDescent="0.25">
      <c r="A5" s="19"/>
      <c r="B5" s="19"/>
      <c r="C5" s="19"/>
      <c r="D5" s="19"/>
      <c r="E5" s="19"/>
      <c r="I5" s="19"/>
      <c r="J5" s="19"/>
      <c r="K5" s="19"/>
      <c r="L5" s="19"/>
      <c r="M5" s="19"/>
      <c r="N5" s="19"/>
      <c r="P5" s="20" t="s">
        <v>36</v>
      </c>
      <c r="Q5" s="19"/>
      <c r="R5" s="22" t="s">
        <v>27</v>
      </c>
      <c r="S5" s="19"/>
      <c r="T5" s="19"/>
      <c r="U5" s="19"/>
      <c r="V5" s="19"/>
      <c r="W5" s="19"/>
      <c r="X5" s="19"/>
      <c r="Y5" s="19"/>
      <c r="Z5" s="19"/>
      <c r="AA5" s="19"/>
      <c r="AB5" s="19"/>
      <c r="AC5" s="19"/>
      <c r="AD5" s="19"/>
    </row>
    <row r="6" spans="1:30" ht="6.75" customHeight="1" thickBot="1" x14ac:dyDescent="0.3">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row>
    <row r="7" spans="1:30" s="24" customFormat="1" ht="46.5" customHeight="1" x14ac:dyDescent="0.25">
      <c r="A7" s="232" t="s">
        <v>1</v>
      </c>
      <c r="B7" s="203" t="s">
        <v>2</v>
      </c>
      <c r="C7" s="203" t="s">
        <v>37</v>
      </c>
      <c r="D7" s="203" t="s">
        <v>38</v>
      </c>
      <c r="E7" s="203" t="s">
        <v>144</v>
      </c>
      <c r="F7" s="203" t="s">
        <v>39</v>
      </c>
      <c r="G7" s="203" t="s">
        <v>40</v>
      </c>
      <c r="H7" s="203" t="s">
        <v>41</v>
      </c>
      <c r="I7" s="203" t="s">
        <v>42</v>
      </c>
      <c r="J7" s="203" t="s">
        <v>43</v>
      </c>
      <c r="K7" s="203" t="s">
        <v>44</v>
      </c>
      <c r="L7" s="203" t="s">
        <v>193</v>
      </c>
      <c r="M7" s="206" t="s">
        <v>72</v>
      </c>
      <c r="N7" s="208"/>
      <c r="O7" s="203" t="s">
        <v>196</v>
      </c>
      <c r="P7" s="206" t="s">
        <v>73</v>
      </c>
      <c r="Q7" s="208"/>
      <c r="R7" s="203" t="s">
        <v>74</v>
      </c>
      <c r="S7" s="203" t="s">
        <v>75</v>
      </c>
      <c r="T7" s="246" t="s">
        <v>76</v>
      </c>
      <c r="U7" s="247"/>
      <c r="V7" s="206" t="s">
        <v>50</v>
      </c>
      <c r="W7" s="208"/>
      <c r="X7" s="203" t="s">
        <v>77</v>
      </c>
      <c r="Y7" s="206" t="s">
        <v>52</v>
      </c>
      <c r="Z7" s="213"/>
      <c r="AA7" s="208"/>
      <c r="AB7" s="203" t="s">
        <v>53</v>
      </c>
      <c r="AC7" s="206" t="s">
        <v>54</v>
      </c>
      <c r="AD7" s="207"/>
    </row>
    <row r="8" spans="1:30" s="24" customFormat="1" ht="73.5" customHeight="1" thickBot="1" x14ac:dyDescent="0.3">
      <c r="A8" s="233"/>
      <c r="B8" s="204"/>
      <c r="C8" s="204"/>
      <c r="D8" s="205"/>
      <c r="E8" s="205"/>
      <c r="F8" s="204"/>
      <c r="G8" s="205"/>
      <c r="H8" s="205"/>
      <c r="I8" s="204"/>
      <c r="J8" s="205"/>
      <c r="K8" s="204"/>
      <c r="L8" s="204"/>
      <c r="M8" s="76" t="s">
        <v>78</v>
      </c>
      <c r="N8" s="76" t="s">
        <v>56</v>
      </c>
      <c r="O8" s="205"/>
      <c r="P8" s="78" t="s">
        <v>79</v>
      </c>
      <c r="Q8" s="78" t="s">
        <v>80</v>
      </c>
      <c r="R8" s="204"/>
      <c r="S8" s="204"/>
      <c r="T8" s="78" t="s">
        <v>55</v>
      </c>
      <c r="U8" s="78" t="s">
        <v>56</v>
      </c>
      <c r="V8" s="78" t="s">
        <v>55</v>
      </c>
      <c r="W8" s="78" t="s">
        <v>56</v>
      </c>
      <c r="X8" s="205"/>
      <c r="Y8" s="77" t="s">
        <v>59</v>
      </c>
      <c r="Z8" s="244" t="s">
        <v>2</v>
      </c>
      <c r="AA8" s="245"/>
      <c r="AB8" s="204"/>
      <c r="AC8" s="77" t="s">
        <v>60</v>
      </c>
      <c r="AD8" s="79" t="s">
        <v>61</v>
      </c>
    </row>
    <row r="9" spans="1:30" ht="24" customHeight="1" x14ac:dyDescent="0.25">
      <c r="A9" s="269">
        <v>1</v>
      </c>
      <c r="B9" s="248" t="s">
        <v>22</v>
      </c>
      <c r="C9" s="238" t="s">
        <v>160</v>
      </c>
      <c r="D9" s="248" t="s">
        <v>30</v>
      </c>
      <c r="E9" s="234" t="s">
        <v>177</v>
      </c>
      <c r="F9" s="234">
        <v>2119</v>
      </c>
      <c r="G9" s="236" t="s">
        <v>24</v>
      </c>
      <c r="H9" s="248" t="s">
        <v>180</v>
      </c>
      <c r="I9" s="248" t="s">
        <v>25</v>
      </c>
      <c r="J9" s="248" t="s">
        <v>22</v>
      </c>
      <c r="K9" s="248" t="s">
        <v>22</v>
      </c>
      <c r="L9" s="27">
        <v>43725</v>
      </c>
      <c r="M9" s="27">
        <v>43745</v>
      </c>
      <c r="N9" s="63"/>
      <c r="O9" s="27" t="s">
        <v>197</v>
      </c>
      <c r="P9" s="27">
        <v>43908</v>
      </c>
      <c r="Q9" s="64"/>
      <c r="R9" s="27">
        <v>43949</v>
      </c>
      <c r="S9" s="27">
        <v>43949</v>
      </c>
      <c r="T9" s="37">
        <v>43978</v>
      </c>
      <c r="U9" s="37">
        <v>44088</v>
      </c>
      <c r="V9" s="35"/>
      <c r="W9" s="35"/>
      <c r="X9" s="35"/>
      <c r="Y9" s="35"/>
      <c r="Z9" s="35"/>
      <c r="AA9" s="35"/>
      <c r="AB9" s="35"/>
      <c r="AC9" s="35"/>
      <c r="AD9" s="36"/>
    </row>
    <row r="10" spans="1:30" ht="24" customHeight="1" thickBot="1" x14ac:dyDescent="0.3">
      <c r="A10" s="269"/>
      <c r="B10" s="249"/>
      <c r="C10" s="239"/>
      <c r="D10" s="249"/>
      <c r="E10" s="235"/>
      <c r="F10" s="235"/>
      <c r="G10" s="237"/>
      <c r="H10" s="249"/>
      <c r="I10" s="249"/>
      <c r="J10" s="249"/>
      <c r="K10" s="249"/>
      <c r="L10" s="90">
        <v>44531</v>
      </c>
      <c r="M10" s="90">
        <v>44550</v>
      </c>
      <c r="N10" s="90">
        <v>44582</v>
      </c>
      <c r="O10" s="90">
        <v>44588</v>
      </c>
      <c r="P10" s="90">
        <v>44603</v>
      </c>
      <c r="Q10" s="90">
        <v>44670</v>
      </c>
      <c r="R10" s="90">
        <v>44685</v>
      </c>
      <c r="S10" s="90">
        <f>+R10</f>
        <v>44685</v>
      </c>
      <c r="T10" s="90">
        <v>44698</v>
      </c>
      <c r="U10" s="90">
        <v>44730</v>
      </c>
      <c r="V10" s="90">
        <f>+T10</f>
        <v>44698</v>
      </c>
      <c r="W10" s="90">
        <f>+U10</f>
        <v>44730</v>
      </c>
      <c r="X10" s="90">
        <v>44736</v>
      </c>
      <c r="Y10" s="90">
        <v>44753</v>
      </c>
      <c r="Z10" s="90">
        <v>44756</v>
      </c>
      <c r="AA10" s="81"/>
      <c r="AB10" s="90">
        <v>44782</v>
      </c>
      <c r="AC10" s="90">
        <v>44797</v>
      </c>
      <c r="AD10" s="91">
        <v>45041</v>
      </c>
    </row>
    <row r="11" spans="1:30" ht="24" customHeight="1" x14ac:dyDescent="0.25">
      <c r="A11" s="265">
        <v>2</v>
      </c>
      <c r="B11" s="267" t="s">
        <v>22</v>
      </c>
      <c r="C11" s="240" t="s">
        <v>162</v>
      </c>
      <c r="D11" s="259" t="s">
        <v>30</v>
      </c>
      <c r="E11" s="280" t="s">
        <v>177</v>
      </c>
      <c r="F11" s="280">
        <v>2119</v>
      </c>
      <c r="G11" s="282" t="s">
        <v>24</v>
      </c>
      <c r="H11" s="259" t="s">
        <v>194</v>
      </c>
      <c r="I11" s="259" t="s">
        <v>25</v>
      </c>
      <c r="J11" s="259" t="s">
        <v>22</v>
      </c>
      <c r="K11" s="259" t="s">
        <v>22</v>
      </c>
      <c r="L11" s="92">
        <v>44607</v>
      </c>
      <c r="M11" s="92">
        <v>44622</v>
      </c>
      <c r="N11" s="93"/>
      <c r="O11" s="92">
        <v>44659</v>
      </c>
      <c r="P11" s="92">
        <v>44673</v>
      </c>
      <c r="Q11" s="93"/>
      <c r="R11" s="92">
        <v>44688</v>
      </c>
      <c r="S11" s="92">
        <f>+R11</f>
        <v>44688</v>
      </c>
      <c r="T11" s="93"/>
      <c r="U11" s="93"/>
      <c r="V11" s="93"/>
      <c r="W11" s="93"/>
      <c r="X11" s="93"/>
      <c r="Y11" s="93"/>
      <c r="Z11" s="93"/>
      <c r="AA11" s="94"/>
      <c r="AB11" s="93"/>
      <c r="AC11" s="93"/>
      <c r="AD11" s="95"/>
    </row>
    <row r="12" spans="1:30" ht="24" customHeight="1" thickBot="1" x14ac:dyDescent="0.3">
      <c r="A12" s="266"/>
      <c r="B12" s="268"/>
      <c r="C12" s="241"/>
      <c r="D12" s="260"/>
      <c r="E12" s="281"/>
      <c r="F12" s="281"/>
      <c r="G12" s="283"/>
      <c r="H12" s="260"/>
      <c r="I12" s="260"/>
      <c r="J12" s="260"/>
      <c r="K12" s="260"/>
      <c r="L12" s="102"/>
      <c r="M12" s="102"/>
      <c r="N12" s="102"/>
      <c r="O12" s="96">
        <v>44695</v>
      </c>
      <c r="P12" s="96">
        <v>44709</v>
      </c>
      <c r="Q12" s="96">
        <f>+P12</f>
        <v>44709</v>
      </c>
      <c r="R12" s="102"/>
      <c r="S12" s="102"/>
      <c r="T12" s="102"/>
      <c r="U12" s="102"/>
      <c r="V12" s="102"/>
      <c r="W12" s="102"/>
      <c r="X12" s="96">
        <v>44720</v>
      </c>
      <c r="Y12" s="96">
        <v>44734</v>
      </c>
      <c r="Z12" s="96">
        <v>44739</v>
      </c>
      <c r="AA12" s="97"/>
      <c r="AB12" s="96">
        <v>44767</v>
      </c>
      <c r="AC12" s="96">
        <v>44781</v>
      </c>
      <c r="AD12" s="98">
        <v>44966</v>
      </c>
    </row>
    <row r="13" spans="1:30" ht="27" customHeight="1" x14ac:dyDescent="0.25">
      <c r="A13" s="269">
        <v>3</v>
      </c>
      <c r="B13" s="259" t="s">
        <v>22</v>
      </c>
      <c r="C13" s="240" t="s">
        <v>161</v>
      </c>
      <c r="D13" s="259" t="s">
        <v>30</v>
      </c>
      <c r="E13" s="280" t="s">
        <v>177</v>
      </c>
      <c r="F13" s="280">
        <v>2119</v>
      </c>
      <c r="G13" s="282" t="s">
        <v>24</v>
      </c>
      <c r="H13" s="259" t="s">
        <v>180</v>
      </c>
      <c r="I13" s="259" t="s">
        <v>25</v>
      </c>
      <c r="J13" s="259" t="s">
        <v>22</v>
      </c>
      <c r="K13" s="259" t="s">
        <v>22</v>
      </c>
      <c r="L13" s="92">
        <v>43725</v>
      </c>
      <c r="M13" s="92">
        <v>43745</v>
      </c>
      <c r="N13" s="93"/>
      <c r="O13" s="92">
        <v>43862</v>
      </c>
      <c r="P13" s="92">
        <v>43907</v>
      </c>
      <c r="Q13" s="93"/>
      <c r="R13" s="92">
        <v>43927</v>
      </c>
      <c r="S13" s="92">
        <f t="shared" ref="S13:S23" si="0">+R13</f>
        <v>43927</v>
      </c>
      <c r="T13" s="92">
        <v>43957</v>
      </c>
      <c r="U13" s="92">
        <v>44088</v>
      </c>
      <c r="V13" s="93"/>
      <c r="W13" s="93"/>
      <c r="X13" s="93"/>
      <c r="Y13" s="93"/>
      <c r="Z13" s="93"/>
      <c r="AA13" s="94"/>
      <c r="AB13" s="93"/>
      <c r="AC13" s="93"/>
      <c r="AD13" s="95"/>
    </row>
    <row r="14" spans="1:30" ht="27" customHeight="1" thickBot="1" x14ac:dyDescent="0.3">
      <c r="A14" s="269"/>
      <c r="B14" s="260"/>
      <c r="C14" s="241"/>
      <c r="D14" s="260"/>
      <c r="E14" s="281"/>
      <c r="F14" s="281"/>
      <c r="G14" s="283"/>
      <c r="H14" s="260"/>
      <c r="I14" s="260"/>
      <c r="J14" s="260"/>
      <c r="K14" s="260"/>
      <c r="L14" s="96">
        <v>44788</v>
      </c>
      <c r="M14" s="96">
        <v>44805</v>
      </c>
      <c r="N14" s="96">
        <v>44836</v>
      </c>
      <c r="O14" s="96" t="s">
        <v>198</v>
      </c>
      <c r="P14" s="96">
        <v>44855</v>
      </c>
      <c r="Q14" s="96">
        <v>44921</v>
      </c>
      <c r="R14" s="96">
        <v>44936</v>
      </c>
      <c r="S14" s="96">
        <f t="shared" si="0"/>
        <v>44936</v>
      </c>
      <c r="T14" s="96">
        <v>44949</v>
      </c>
      <c r="U14" s="96">
        <v>44981</v>
      </c>
      <c r="V14" s="96">
        <f>+T14</f>
        <v>44949</v>
      </c>
      <c r="W14" s="96">
        <f>+U14</f>
        <v>44981</v>
      </c>
      <c r="X14" s="96">
        <v>44986</v>
      </c>
      <c r="Y14" s="96">
        <v>45002</v>
      </c>
      <c r="Z14" s="96">
        <v>45007</v>
      </c>
      <c r="AA14" s="97"/>
      <c r="AB14" s="96">
        <v>45033</v>
      </c>
      <c r="AC14" s="96">
        <v>45048</v>
      </c>
      <c r="AD14" s="98">
        <v>45294</v>
      </c>
    </row>
    <row r="15" spans="1:30" ht="24" customHeight="1" x14ac:dyDescent="0.25">
      <c r="A15" s="265">
        <v>4</v>
      </c>
      <c r="B15" s="259" t="s">
        <v>22</v>
      </c>
      <c r="C15" s="240" t="s">
        <v>153</v>
      </c>
      <c r="D15" s="259" t="s">
        <v>30</v>
      </c>
      <c r="E15" s="280" t="s">
        <v>177</v>
      </c>
      <c r="F15" s="280">
        <v>6221</v>
      </c>
      <c r="G15" s="282" t="s">
        <v>24</v>
      </c>
      <c r="H15" s="259" t="s">
        <v>180</v>
      </c>
      <c r="I15" s="259" t="s">
        <v>25</v>
      </c>
      <c r="J15" s="259" t="s">
        <v>22</v>
      </c>
      <c r="K15" s="259" t="s">
        <v>22</v>
      </c>
      <c r="L15" s="92">
        <v>44727</v>
      </c>
      <c r="M15" s="92">
        <v>44746</v>
      </c>
      <c r="N15" s="92">
        <v>44778</v>
      </c>
      <c r="O15" s="92">
        <v>44789</v>
      </c>
      <c r="P15" s="92">
        <v>44820</v>
      </c>
      <c r="Q15" s="93"/>
      <c r="R15" s="92">
        <v>44835</v>
      </c>
      <c r="S15" s="92">
        <f t="shared" si="0"/>
        <v>44835</v>
      </c>
      <c r="T15" s="92">
        <v>44848</v>
      </c>
      <c r="U15" s="92">
        <v>44880</v>
      </c>
      <c r="V15" s="93"/>
      <c r="W15" s="93"/>
      <c r="X15" s="93"/>
      <c r="Y15" s="93"/>
      <c r="Z15" s="93"/>
      <c r="AA15" s="94"/>
      <c r="AB15" s="93"/>
      <c r="AC15" s="93"/>
      <c r="AD15" s="95"/>
    </row>
    <row r="16" spans="1:30" ht="24" customHeight="1" thickBot="1" x14ac:dyDescent="0.3">
      <c r="A16" s="266"/>
      <c r="B16" s="260"/>
      <c r="C16" s="241"/>
      <c r="D16" s="260"/>
      <c r="E16" s="281"/>
      <c r="F16" s="281"/>
      <c r="G16" s="283"/>
      <c r="H16" s="260"/>
      <c r="I16" s="260"/>
      <c r="J16" s="260"/>
      <c r="K16" s="260"/>
      <c r="L16" s="96">
        <f>+L15</f>
        <v>44727</v>
      </c>
      <c r="M16" s="96">
        <f>+M15</f>
        <v>44746</v>
      </c>
      <c r="N16" s="96">
        <f>+N15</f>
        <v>44778</v>
      </c>
      <c r="O16" s="96">
        <v>44887</v>
      </c>
      <c r="P16" s="96">
        <v>44901</v>
      </c>
      <c r="Q16" s="96">
        <v>44967</v>
      </c>
      <c r="R16" s="96">
        <v>44982</v>
      </c>
      <c r="S16" s="96">
        <f t="shared" si="0"/>
        <v>44982</v>
      </c>
      <c r="T16" s="102"/>
      <c r="U16" s="102"/>
      <c r="V16" s="96">
        <v>44995</v>
      </c>
      <c r="W16" s="96">
        <v>45027</v>
      </c>
      <c r="X16" s="96">
        <v>45033</v>
      </c>
      <c r="Y16" s="96">
        <v>45050</v>
      </c>
      <c r="Z16" s="96">
        <v>45055</v>
      </c>
      <c r="AA16" s="97"/>
      <c r="AB16" s="96">
        <v>45082</v>
      </c>
      <c r="AC16" s="96">
        <v>45097</v>
      </c>
      <c r="AD16" s="98">
        <v>45464</v>
      </c>
    </row>
    <row r="17" spans="1:30" ht="24" customHeight="1" x14ac:dyDescent="0.25">
      <c r="A17" s="269">
        <v>5</v>
      </c>
      <c r="B17" s="259" t="s">
        <v>22</v>
      </c>
      <c r="C17" s="240" t="s">
        <v>140</v>
      </c>
      <c r="D17" s="282" t="s">
        <v>28</v>
      </c>
      <c r="E17" s="280" t="s">
        <v>183</v>
      </c>
      <c r="F17" s="280">
        <v>2339</v>
      </c>
      <c r="G17" s="282" t="s">
        <v>23</v>
      </c>
      <c r="H17" s="259" t="s">
        <v>180</v>
      </c>
      <c r="I17" s="259" t="s">
        <v>189</v>
      </c>
      <c r="J17" s="259" t="s">
        <v>22</v>
      </c>
      <c r="K17" s="259" t="s">
        <v>22</v>
      </c>
      <c r="L17" s="92">
        <v>44596</v>
      </c>
      <c r="M17" s="92">
        <v>44601</v>
      </c>
      <c r="N17" s="93"/>
      <c r="O17" s="124">
        <v>44607</v>
      </c>
      <c r="P17" s="92">
        <v>44638</v>
      </c>
      <c r="Q17" s="125"/>
      <c r="R17" s="92">
        <v>44653</v>
      </c>
      <c r="S17" s="92">
        <f t="shared" si="0"/>
        <v>44653</v>
      </c>
      <c r="T17" s="92">
        <v>44666</v>
      </c>
      <c r="U17" s="93"/>
      <c r="V17" s="93"/>
      <c r="W17" s="125"/>
      <c r="X17" s="93"/>
      <c r="Y17" s="93"/>
      <c r="Z17" s="93"/>
      <c r="AA17" s="126"/>
      <c r="AB17" s="125"/>
      <c r="AC17" s="93"/>
      <c r="AD17" s="127"/>
    </row>
    <row r="18" spans="1:30" ht="24" customHeight="1" thickBot="1" x14ac:dyDescent="0.3">
      <c r="A18" s="269"/>
      <c r="B18" s="260"/>
      <c r="C18" s="241"/>
      <c r="D18" s="283"/>
      <c r="E18" s="281"/>
      <c r="F18" s="281"/>
      <c r="G18" s="283"/>
      <c r="H18" s="260"/>
      <c r="I18" s="260"/>
      <c r="J18" s="260"/>
      <c r="K18" s="260"/>
      <c r="L18" s="124">
        <v>44669</v>
      </c>
      <c r="M18" s="124">
        <v>44686</v>
      </c>
      <c r="N18" s="125"/>
      <c r="O18" s="96">
        <v>44691</v>
      </c>
      <c r="P18" s="124">
        <v>44722</v>
      </c>
      <c r="Q18" s="96">
        <f>+P18</f>
        <v>44722</v>
      </c>
      <c r="R18" s="124">
        <v>44737</v>
      </c>
      <c r="S18" s="124">
        <f t="shared" si="0"/>
        <v>44737</v>
      </c>
      <c r="T18" s="125"/>
      <c r="U18" s="125"/>
      <c r="V18" s="124">
        <v>44750</v>
      </c>
      <c r="W18" s="102"/>
      <c r="X18" s="125"/>
      <c r="Y18" s="124">
        <v>44767</v>
      </c>
      <c r="Z18" s="124">
        <v>44770</v>
      </c>
      <c r="AA18" s="123"/>
      <c r="AB18" s="96">
        <v>44796</v>
      </c>
      <c r="AC18" s="124">
        <v>44813</v>
      </c>
      <c r="AD18" s="98">
        <v>45056</v>
      </c>
    </row>
    <row r="19" spans="1:30" ht="24" customHeight="1" x14ac:dyDescent="0.25">
      <c r="A19" s="265">
        <v>6</v>
      </c>
      <c r="B19" s="259" t="s">
        <v>22</v>
      </c>
      <c r="C19" s="250" t="s">
        <v>154</v>
      </c>
      <c r="D19" s="259" t="s">
        <v>30</v>
      </c>
      <c r="E19" s="280" t="s">
        <v>178</v>
      </c>
      <c r="F19" s="280">
        <v>2339</v>
      </c>
      <c r="G19" s="284" t="s">
        <v>23</v>
      </c>
      <c r="H19" s="259" t="s">
        <v>180</v>
      </c>
      <c r="I19" s="259" t="s">
        <v>189</v>
      </c>
      <c r="J19" s="259" t="s">
        <v>22</v>
      </c>
      <c r="K19" s="259" t="s">
        <v>191</v>
      </c>
      <c r="L19" s="92">
        <v>44553</v>
      </c>
      <c r="M19" s="92">
        <v>44572</v>
      </c>
      <c r="N19" s="92">
        <v>44604</v>
      </c>
      <c r="O19" s="92">
        <v>44614</v>
      </c>
      <c r="P19" s="92">
        <v>44676</v>
      </c>
      <c r="Q19" s="94"/>
      <c r="R19" s="92">
        <v>44691</v>
      </c>
      <c r="S19" s="92">
        <f t="shared" si="0"/>
        <v>44691</v>
      </c>
      <c r="T19" s="92">
        <v>44704</v>
      </c>
      <c r="U19" s="92">
        <v>44736</v>
      </c>
      <c r="V19" s="93"/>
      <c r="W19" s="93"/>
      <c r="X19" s="93"/>
      <c r="Y19" s="93"/>
      <c r="Z19" s="93"/>
      <c r="AA19" s="94"/>
      <c r="AB19" s="93"/>
      <c r="AC19" s="93"/>
      <c r="AD19" s="95"/>
    </row>
    <row r="20" spans="1:30" ht="24" customHeight="1" thickBot="1" x14ac:dyDescent="0.3">
      <c r="A20" s="266"/>
      <c r="B20" s="260"/>
      <c r="C20" s="251"/>
      <c r="D20" s="260"/>
      <c r="E20" s="281"/>
      <c r="F20" s="281"/>
      <c r="G20" s="285"/>
      <c r="H20" s="260"/>
      <c r="I20" s="260"/>
      <c r="J20" s="260"/>
      <c r="K20" s="260"/>
      <c r="L20" s="96">
        <f>+L19</f>
        <v>44553</v>
      </c>
      <c r="M20" s="96">
        <f>+M19</f>
        <v>44572</v>
      </c>
      <c r="N20" s="96">
        <f>+N19</f>
        <v>44604</v>
      </c>
      <c r="O20" s="96">
        <v>44742</v>
      </c>
      <c r="P20" s="96">
        <v>44757</v>
      </c>
      <c r="Q20" s="96">
        <f>+P20</f>
        <v>44757</v>
      </c>
      <c r="R20" s="96">
        <v>44772</v>
      </c>
      <c r="S20" s="96">
        <f t="shared" si="0"/>
        <v>44772</v>
      </c>
      <c r="T20" s="96">
        <v>44782</v>
      </c>
      <c r="U20" s="96">
        <v>44814</v>
      </c>
      <c r="V20" s="96">
        <f>+T20</f>
        <v>44782</v>
      </c>
      <c r="W20" s="96">
        <f>+U20</f>
        <v>44814</v>
      </c>
      <c r="X20" s="96">
        <v>44819</v>
      </c>
      <c r="Y20" s="96">
        <v>44875</v>
      </c>
      <c r="Z20" s="96">
        <v>44880</v>
      </c>
      <c r="AA20" s="97"/>
      <c r="AB20" s="96">
        <v>44907</v>
      </c>
      <c r="AC20" s="96">
        <v>44921</v>
      </c>
      <c r="AD20" s="98">
        <v>45653</v>
      </c>
    </row>
    <row r="21" spans="1:30" ht="24" customHeight="1" thickBot="1" x14ac:dyDescent="0.3">
      <c r="A21" s="277">
        <v>7</v>
      </c>
      <c r="B21" s="278" t="s">
        <v>22</v>
      </c>
      <c r="C21" s="252" t="s">
        <v>163</v>
      </c>
      <c r="D21" s="278" t="s">
        <v>30</v>
      </c>
      <c r="E21" s="278" t="s">
        <v>178</v>
      </c>
      <c r="F21" s="278">
        <v>2119</v>
      </c>
      <c r="G21" s="286" t="s">
        <v>24</v>
      </c>
      <c r="H21" s="278" t="s">
        <v>180</v>
      </c>
      <c r="I21" s="278" t="s">
        <v>25</v>
      </c>
      <c r="J21" s="278" t="s">
        <v>22</v>
      </c>
      <c r="K21" s="278" t="s">
        <v>22</v>
      </c>
      <c r="L21" s="137">
        <v>44551</v>
      </c>
      <c r="M21" s="137">
        <v>44554</v>
      </c>
      <c r="N21" s="137">
        <v>44599</v>
      </c>
      <c r="O21" s="137">
        <v>44607</v>
      </c>
      <c r="P21" s="137">
        <v>44635</v>
      </c>
      <c r="Q21" s="94"/>
      <c r="R21" s="137">
        <v>44650</v>
      </c>
      <c r="S21" s="137">
        <f t="shared" si="0"/>
        <v>44650</v>
      </c>
      <c r="T21" s="137">
        <v>44663</v>
      </c>
      <c r="U21" s="137">
        <v>44694</v>
      </c>
      <c r="V21" s="93"/>
      <c r="W21" s="93"/>
      <c r="X21" s="93"/>
      <c r="Y21" s="93"/>
      <c r="Z21" s="93"/>
      <c r="AA21" s="94"/>
      <c r="AB21" s="93"/>
      <c r="AC21" s="93"/>
      <c r="AD21" s="95"/>
    </row>
    <row r="22" spans="1:30" ht="24" customHeight="1" thickBot="1" x14ac:dyDescent="0.3">
      <c r="A22" s="277"/>
      <c r="B22" s="279"/>
      <c r="C22" s="253"/>
      <c r="D22" s="279"/>
      <c r="E22" s="279"/>
      <c r="F22" s="279"/>
      <c r="G22" s="287"/>
      <c r="H22" s="279"/>
      <c r="I22" s="279"/>
      <c r="J22" s="279"/>
      <c r="K22" s="279"/>
      <c r="L22" s="138">
        <v>44697</v>
      </c>
      <c r="M22" s="138">
        <v>44714</v>
      </c>
      <c r="N22" s="138">
        <v>44745</v>
      </c>
      <c r="O22" s="138">
        <v>44754</v>
      </c>
      <c r="P22" s="138">
        <v>44768</v>
      </c>
      <c r="Q22" s="138">
        <v>44831</v>
      </c>
      <c r="R22" s="138">
        <v>44841</v>
      </c>
      <c r="S22" s="138">
        <f t="shared" si="0"/>
        <v>44841</v>
      </c>
      <c r="T22" s="94"/>
      <c r="U22" s="94"/>
      <c r="V22" s="138">
        <v>44851</v>
      </c>
      <c r="W22" s="138">
        <v>44883</v>
      </c>
      <c r="X22" s="138">
        <v>44896</v>
      </c>
      <c r="Y22" s="138">
        <v>44904</v>
      </c>
      <c r="Z22" s="138">
        <v>44909</v>
      </c>
      <c r="AA22" s="139"/>
      <c r="AB22" s="138">
        <v>44935</v>
      </c>
      <c r="AC22" s="138">
        <v>44950</v>
      </c>
      <c r="AD22" s="140">
        <v>46412</v>
      </c>
    </row>
    <row r="23" spans="1:30" ht="24" customHeight="1" x14ac:dyDescent="0.25">
      <c r="A23" s="265">
        <v>8</v>
      </c>
      <c r="B23" s="259" t="s">
        <v>22</v>
      </c>
      <c r="C23" s="254" t="s">
        <v>181</v>
      </c>
      <c r="D23" s="259" t="s">
        <v>30</v>
      </c>
      <c r="E23" s="280" t="s">
        <v>178</v>
      </c>
      <c r="F23" s="280">
        <v>2119</v>
      </c>
      <c r="G23" s="284" t="s">
        <v>24</v>
      </c>
      <c r="H23" s="259" t="s">
        <v>180</v>
      </c>
      <c r="I23" s="259" t="s">
        <v>25</v>
      </c>
      <c r="J23" s="259" t="s">
        <v>22</v>
      </c>
      <c r="K23" s="282" t="s">
        <v>195</v>
      </c>
      <c r="L23" s="92">
        <v>44790</v>
      </c>
      <c r="M23" s="92">
        <v>44804</v>
      </c>
      <c r="N23" s="93"/>
      <c r="O23" s="92">
        <v>44810</v>
      </c>
      <c r="P23" s="92">
        <v>44825</v>
      </c>
      <c r="Q23" s="93"/>
      <c r="R23" s="92">
        <v>44840</v>
      </c>
      <c r="S23" s="92">
        <f t="shared" si="0"/>
        <v>44840</v>
      </c>
      <c r="T23" s="94"/>
      <c r="U23" s="94"/>
      <c r="V23" s="93"/>
      <c r="W23" s="93"/>
      <c r="X23" s="100"/>
      <c r="Y23" s="100"/>
      <c r="Z23" s="100"/>
      <c r="AA23" s="94"/>
      <c r="AB23" s="93"/>
      <c r="AC23" s="100"/>
      <c r="AD23" s="101"/>
    </row>
    <row r="24" spans="1:30" ht="24" customHeight="1" thickBot="1" x14ac:dyDescent="0.3">
      <c r="A24" s="266"/>
      <c r="B24" s="260"/>
      <c r="C24" s="255"/>
      <c r="D24" s="260"/>
      <c r="E24" s="281"/>
      <c r="F24" s="281"/>
      <c r="G24" s="285"/>
      <c r="H24" s="260"/>
      <c r="I24" s="260"/>
      <c r="J24" s="260"/>
      <c r="K24" s="283"/>
      <c r="L24" s="102"/>
      <c r="M24" s="102"/>
      <c r="N24" s="102"/>
      <c r="O24" s="96">
        <v>44848</v>
      </c>
      <c r="P24" s="96">
        <v>44865</v>
      </c>
      <c r="Q24" s="96">
        <f>+P24</f>
        <v>44865</v>
      </c>
      <c r="R24" s="102"/>
      <c r="S24" s="102"/>
      <c r="T24" s="103"/>
      <c r="U24" s="103"/>
      <c r="V24" s="102"/>
      <c r="W24" s="102"/>
      <c r="X24" s="96">
        <v>44876</v>
      </c>
      <c r="Y24" s="96">
        <v>44890</v>
      </c>
      <c r="Z24" s="96">
        <v>44895</v>
      </c>
      <c r="AA24" s="97"/>
      <c r="AB24" s="102"/>
      <c r="AC24" s="96">
        <v>44910</v>
      </c>
      <c r="AD24" s="98">
        <v>45094</v>
      </c>
    </row>
    <row r="25" spans="1:30" ht="24" customHeight="1" x14ac:dyDescent="0.25">
      <c r="A25" s="269">
        <v>9</v>
      </c>
      <c r="B25" s="259" t="s">
        <v>22</v>
      </c>
      <c r="C25" s="254" t="s">
        <v>224</v>
      </c>
      <c r="D25" s="259" t="s">
        <v>30</v>
      </c>
      <c r="E25" s="280" t="s">
        <v>178</v>
      </c>
      <c r="F25" s="280">
        <v>2119</v>
      </c>
      <c r="G25" s="284" t="s">
        <v>24</v>
      </c>
      <c r="H25" s="259" t="s">
        <v>180</v>
      </c>
      <c r="I25" s="259" t="s">
        <v>25</v>
      </c>
      <c r="J25" s="259" t="s">
        <v>22</v>
      </c>
      <c r="K25" s="282" t="s">
        <v>195</v>
      </c>
      <c r="L25" s="92">
        <v>44790</v>
      </c>
      <c r="M25" s="92">
        <v>44804</v>
      </c>
      <c r="N25" s="93"/>
      <c r="O25" s="92">
        <v>44810</v>
      </c>
      <c r="P25" s="92">
        <v>44825</v>
      </c>
      <c r="Q25" s="93"/>
      <c r="R25" s="92">
        <v>44840</v>
      </c>
      <c r="S25" s="92">
        <f>+R25</f>
        <v>44840</v>
      </c>
      <c r="T25" s="94"/>
      <c r="U25" s="94"/>
      <c r="V25" s="93"/>
      <c r="W25" s="93"/>
      <c r="X25" s="100"/>
      <c r="Y25" s="100"/>
      <c r="Z25" s="100"/>
      <c r="AA25" s="94"/>
      <c r="AB25" s="93"/>
      <c r="AC25" s="101"/>
      <c r="AD25" s="104"/>
    </row>
    <row r="26" spans="1:30" ht="24" customHeight="1" thickBot="1" x14ac:dyDescent="0.3">
      <c r="A26" s="269"/>
      <c r="B26" s="249"/>
      <c r="C26" s="256"/>
      <c r="D26" s="249"/>
      <c r="E26" s="235"/>
      <c r="F26" s="235"/>
      <c r="G26" s="236"/>
      <c r="H26" s="249"/>
      <c r="I26" s="249"/>
      <c r="J26" s="249"/>
      <c r="K26" s="237"/>
      <c r="L26" s="105"/>
      <c r="M26" s="105"/>
      <c r="N26" s="105"/>
      <c r="O26" s="96">
        <v>44848</v>
      </c>
      <c r="P26" s="96">
        <v>44865</v>
      </c>
      <c r="Q26" s="96">
        <f>+P26</f>
        <v>44865</v>
      </c>
      <c r="R26" s="105"/>
      <c r="S26" s="105"/>
      <c r="T26" s="106"/>
      <c r="U26" s="106"/>
      <c r="V26" s="105"/>
      <c r="W26" s="105"/>
      <c r="X26" s="90">
        <v>44876</v>
      </c>
      <c r="Y26" s="90">
        <v>44890</v>
      </c>
      <c r="Z26" s="90">
        <v>44895</v>
      </c>
      <c r="AA26" s="81"/>
      <c r="AB26" s="105"/>
      <c r="AC26" s="91">
        <v>44910</v>
      </c>
      <c r="AD26" s="107">
        <v>45094</v>
      </c>
    </row>
    <row r="27" spans="1:30" ht="24" customHeight="1" x14ac:dyDescent="0.25">
      <c r="A27" s="274">
        <v>10</v>
      </c>
      <c r="B27" s="270" t="s">
        <v>22</v>
      </c>
      <c r="C27" s="257" t="s">
        <v>164</v>
      </c>
      <c r="D27" s="270" t="s">
        <v>30</v>
      </c>
      <c r="E27" s="270" t="s">
        <v>178</v>
      </c>
      <c r="F27" s="270">
        <v>2119</v>
      </c>
      <c r="G27" s="288" t="s">
        <v>24</v>
      </c>
      <c r="H27" s="270" t="s">
        <v>180</v>
      </c>
      <c r="I27" s="270" t="s">
        <v>25</v>
      </c>
      <c r="J27" s="270" t="s">
        <v>22</v>
      </c>
      <c r="K27" s="270" t="s">
        <v>191</v>
      </c>
      <c r="L27" s="135">
        <v>44551</v>
      </c>
      <c r="M27" s="135">
        <v>44554</v>
      </c>
      <c r="N27" s="135">
        <v>44609</v>
      </c>
      <c r="O27" s="135">
        <v>44621</v>
      </c>
      <c r="P27" s="135">
        <v>44643</v>
      </c>
      <c r="Q27" s="94"/>
      <c r="R27" s="135">
        <v>44658</v>
      </c>
      <c r="S27" s="135">
        <f t="shared" ref="S27:S32" si="1">+R27</f>
        <v>44658</v>
      </c>
      <c r="T27" s="135">
        <v>44671</v>
      </c>
      <c r="U27" s="135">
        <v>44701</v>
      </c>
      <c r="V27" s="93"/>
      <c r="W27" s="93"/>
      <c r="X27" s="93"/>
      <c r="Y27" s="93"/>
      <c r="Z27" s="93"/>
      <c r="AA27" s="94"/>
      <c r="AB27" s="93"/>
      <c r="AC27" s="93"/>
      <c r="AD27" s="95"/>
    </row>
    <row r="28" spans="1:30" ht="24" customHeight="1" thickBot="1" x14ac:dyDescent="0.3">
      <c r="A28" s="275"/>
      <c r="B28" s="271"/>
      <c r="C28" s="258"/>
      <c r="D28" s="271"/>
      <c r="E28" s="271"/>
      <c r="F28" s="271"/>
      <c r="G28" s="289"/>
      <c r="H28" s="271"/>
      <c r="I28" s="271"/>
      <c r="J28" s="271"/>
      <c r="K28" s="271"/>
      <c r="L28" s="136"/>
      <c r="M28" s="136"/>
      <c r="N28" s="136"/>
      <c r="O28" s="136"/>
      <c r="P28" s="136"/>
      <c r="Q28" s="96">
        <v>44824</v>
      </c>
      <c r="R28" s="96">
        <v>44839</v>
      </c>
      <c r="S28" s="96">
        <f t="shared" si="1"/>
        <v>44839</v>
      </c>
      <c r="T28" s="96">
        <v>44852</v>
      </c>
      <c r="U28" s="96">
        <v>44884</v>
      </c>
      <c r="V28" s="96">
        <f>+T28</f>
        <v>44852</v>
      </c>
      <c r="W28" s="96">
        <f>+U28</f>
        <v>44884</v>
      </c>
      <c r="X28" s="96">
        <v>44889</v>
      </c>
      <c r="Y28" s="96">
        <v>44904</v>
      </c>
      <c r="Z28" s="96">
        <v>44909</v>
      </c>
      <c r="AA28" s="97"/>
      <c r="AB28" s="96">
        <v>44935</v>
      </c>
      <c r="AC28" s="96">
        <v>44950</v>
      </c>
      <c r="AD28" s="98">
        <v>45682</v>
      </c>
    </row>
    <row r="29" spans="1:30" ht="24" customHeight="1" x14ac:dyDescent="0.25">
      <c r="A29" s="276">
        <v>11</v>
      </c>
      <c r="B29" s="272" t="s">
        <v>22</v>
      </c>
      <c r="C29" s="242" t="s">
        <v>157</v>
      </c>
      <c r="D29" s="272" t="s">
        <v>30</v>
      </c>
      <c r="E29" s="272" t="s">
        <v>178</v>
      </c>
      <c r="F29" s="272">
        <v>2119</v>
      </c>
      <c r="G29" s="290" t="s">
        <v>24</v>
      </c>
      <c r="H29" s="272" t="s">
        <v>180</v>
      </c>
      <c r="I29" s="272" t="s">
        <v>25</v>
      </c>
      <c r="J29" s="272" t="s">
        <v>22</v>
      </c>
      <c r="K29" s="272" t="s">
        <v>22</v>
      </c>
      <c r="L29" s="141">
        <v>44551</v>
      </c>
      <c r="M29" s="141">
        <v>44554</v>
      </c>
      <c r="N29" s="141">
        <v>44600</v>
      </c>
      <c r="O29" s="141">
        <v>44607</v>
      </c>
      <c r="P29" s="141">
        <v>44636</v>
      </c>
      <c r="Q29" s="94"/>
      <c r="R29" s="141">
        <v>44651</v>
      </c>
      <c r="S29" s="141">
        <f t="shared" si="1"/>
        <v>44651</v>
      </c>
      <c r="T29" s="141">
        <v>44664</v>
      </c>
      <c r="U29" s="141">
        <v>44694</v>
      </c>
      <c r="V29" s="93"/>
      <c r="W29" s="93"/>
      <c r="X29" s="93"/>
      <c r="Y29" s="93"/>
      <c r="Z29" s="93"/>
      <c r="AA29" s="94"/>
      <c r="AB29" s="93"/>
      <c r="AC29" s="93"/>
      <c r="AD29" s="95"/>
    </row>
    <row r="30" spans="1:30" ht="24" customHeight="1" thickBot="1" x14ac:dyDescent="0.3">
      <c r="A30" s="276"/>
      <c r="B30" s="273"/>
      <c r="C30" s="243"/>
      <c r="D30" s="273"/>
      <c r="E30" s="273"/>
      <c r="F30" s="273"/>
      <c r="G30" s="291"/>
      <c r="H30" s="273"/>
      <c r="I30" s="273"/>
      <c r="J30" s="273"/>
      <c r="K30" s="273"/>
      <c r="L30" s="142"/>
      <c r="M30" s="142"/>
      <c r="N30" s="142"/>
      <c r="O30" s="142"/>
      <c r="P30" s="142"/>
      <c r="Q30" s="96">
        <v>44824</v>
      </c>
      <c r="R30" s="96">
        <v>44839</v>
      </c>
      <c r="S30" s="96">
        <f t="shared" si="1"/>
        <v>44839</v>
      </c>
      <c r="T30" s="96">
        <v>44852</v>
      </c>
      <c r="U30" s="96">
        <v>44884</v>
      </c>
      <c r="V30" s="96">
        <f>+T30</f>
        <v>44852</v>
      </c>
      <c r="W30" s="96">
        <f>+U30</f>
        <v>44884</v>
      </c>
      <c r="X30" s="96">
        <v>44889</v>
      </c>
      <c r="Y30" s="96">
        <v>44904</v>
      </c>
      <c r="Z30" s="96">
        <v>44909</v>
      </c>
      <c r="AA30" s="97"/>
      <c r="AB30" s="96">
        <v>44935</v>
      </c>
      <c r="AC30" s="96">
        <v>44950</v>
      </c>
      <c r="AD30" s="98">
        <v>45132</v>
      </c>
    </row>
    <row r="31" spans="1:30" ht="24" customHeight="1" thickBot="1" x14ac:dyDescent="0.3">
      <c r="A31" s="265">
        <v>12</v>
      </c>
      <c r="B31" s="292" t="s">
        <v>22</v>
      </c>
      <c r="C31" s="293" t="s">
        <v>201</v>
      </c>
      <c r="D31" s="294" t="s">
        <v>28</v>
      </c>
      <c r="E31" s="296" t="s">
        <v>178</v>
      </c>
      <c r="F31" s="295">
        <v>2119</v>
      </c>
      <c r="G31" s="282" t="s">
        <v>24</v>
      </c>
      <c r="H31" s="259" t="s">
        <v>180</v>
      </c>
      <c r="I31" s="259" t="s">
        <v>25</v>
      </c>
      <c r="J31" s="259" t="s">
        <v>22</v>
      </c>
      <c r="K31" s="259" t="s">
        <v>210</v>
      </c>
      <c r="L31" s="113">
        <v>44628</v>
      </c>
      <c r="M31" s="113">
        <v>44645</v>
      </c>
      <c r="N31" s="116"/>
      <c r="O31" s="113">
        <v>44649</v>
      </c>
      <c r="P31" s="115">
        <v>44663</v>
      </c>
      <c r="Q31" s="117"/>
      <c r="R31" s="113">
        <v>44677</v>
      </c>
      <c r="S31" s="113">
        <f t="shared" si="1"/>
        <v>44677</v>
      </c>
      <c r="T31" s="113">
        <v>44691</v>
      </c>
      <c r="U31" s="116"/>
      <c r="V31" s="116"/>
      <c r="W31" s="116"/>
      <c r="X31" s="118"/>
      <c r="Y31" s="116"/>
      <c r="Z31" s="116"/>
      <c r="AA31" s="119"/>
      <c r="AB31" s="116"/>
      <c r="AC31" s="116"/>
      <c r="AD31" s="120"/>
    </row>
    <row r="32" spans="1:30" ht="24" customHeight="1" thickBot="1" x14ac:dyDescent="0.3">
      <c r="A32" s="266"/>
      <c r="B32" s="292"/>
      <c r="C32" s="293"/>
      <c r="D32" s="294"/>
      <c r="E32" s="296"/>
      <c r="F32" s="295"/>
      <c r="G32" s="283"/>
      <c r="H32" s="260"/>
      <c r="I32" s="260"/>
      <c r="J32" s="260"/>
      <c r="K32" s="260"/>
      <c r="L32" s="114">
        <f>+L31</f>
        <v>44628</v>
      </c>
      <c r="M32" s="114">
        <f>+M31</f>
        <v>44645</v>
      </c>
      <c r="N32" s="116"/>
      <c r="O32" s="115">
        <v>44698</v>
      </c>
      <c r="P32" s="114">
        <v>44712</v>
      </c>
      <c r="Q32" s="114">
        <v>44747</v>
      </c>
      <c r="R32" s="114">
        <v>44761</v>
      </c>
      <c r="S32" s="114">
        <f t="shared" si="1"/>
        <v>44761</v>
      </c>
      <c r="T32" s="117"/>
      <c r="U32" s="117"/>
      <c r="V32" s="114">
        <v>44775</v>
      </c>
      <c r="W32" s="117"/>
      <c r="X32" s="114">
        <v>44789</v>
      </c>
      <c r="Y32" s="114">
        <v>44792</v>
      </c>
      <c r="Z32" s="113">
        <v>44797</v>
      </c>
      <c r="AA32" s="111"/>
      <c r="AB32" s="113">
        <v>44824</v>
      </c>
      <c r="AC32" s="113">
        <v>44838</v>
      </c>
      <c r="AD32" s="112">
        <v>45569</v>
      </c>
    </row>
    <row r="33" spans="1:39" ht="20.25" customHeight="1" thickBot="1" x14ac:dyDescent="0.3">
      <c r="A33" s="99" t="s">
        <v>7</v>
      </c>
      <c r="B33" s="262" t="s">
        <v>212</v>
      </c>
      <c r="C33" s="263"/>
      <c r="D33" s="263"/>
      <c r="E33" s="263"/>
      <c r="F33" s="263"/>
      <c r="G33" s="263"/>
      <c r="H33" s="263"/>
      <c r="I33" s="263"/>
      <c r="J33" s="263"/>
      <c r="K33" s="263"/>
      <c r="L33" s="263"/>
      <c r="M33" s="263"/>
      <c r="N33" s="263"/>
      <c r="O33" s="263"/>
      <c r="P33" s="263"/>
      <c r="Q33" s="263"/>
      <c r="R33" s="263"/>
      <c r="S33" s="263"/>
      <c r="T33" s="263"/>
      <c r="U33" s="263"/>
      <c r="V33" s="263"/>
      <c r="W33" s="263"/>
      <c r="X33" s="263"/>
      <c r="Y33" s="263"/>
      <c r="Z33" s="263"/>
      <c r="AA33" s="263"/>
      <c r="AB33" s="263"/>
      <c r="AC33" s="263"/>
      <c r="AD33" s="264"/>
    </row>
    <row r="34" spans="1:39"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row>
    <row r="35" spans="1:39"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row>
    <row r="36" spans="1:39" x14ac:dyDescent="0.25">
      <c r="A36" s="29" t="s">
        <v>62</v>
      </c>
      <c r="B36" s="30"/>
      <c r="C36" s="30"/>
      <c r="D36" s="30"/>
      <c r="E36" s="30"/>
      <c r="F36" s="30"/>
      <c r="G36" s="30"/>
      <c r="H36" s="30"/>
      <c r="I36" s="31"/>
      <c r="J36" s="30"/>
      <c r="K36" s="30"/>
      <c r="L36" s="30"/>
      <c r="M36" s="30"/>
      <c r="N36" s="30"/>
      <c r="O36" s="30"/>
      <c r="P36" s="30"/>
      <c r="Q36" s="30"/>
      <c r="R36" s="30"/>
      <c r="S36" s="30"/>
      <c r="T36" s="30"/>
      <c r="U36" s="30"/>
      <c r="V36" s="30"/>
      <c r="W36" s="30"/>
      <c r="X36" s="32"/>
      <c r="Y36" s="32"/>
      <c r="Z36" s="32"/>
      <c r="AA36" s="32"/>
      <c r="AB36" s="32"/>
      <c r="AC36" s="32"/>
      <c r="AD36" s="32"/>
      <c r="AE36" s="33"/>
      <c r="AF36" s="33"/>
      <c r="AG36" s="33"/>
      <c r="AH36" s="33"/>
      <c r="AI36" s="33"/>
      <c r="AJ36" s="31"/>
      <c r="AK36" s="31"/>
      <c r="AL36" s="31"/>
      <c r="AM36" s="31"/>
    </row>
    <row r="37" spans="1:39" ht="18.75" customHeight="1" x14ac:dyDescent="0.25">
      <c r="A37" s="261" t="s">
        <v>63</v>
      </c>
      <c r="B37" s="261"/>
      <c r="C37" s="261"/>
      <c r="D37" s="261"/>
      <c r="E37" s="261"/>
      <c r="F37" s="261"/>
      <c r="G37" s="261"/>
      <c r="H37" s="261"/>
      <c r="I37" s="261"/>
      <c r="J37" s="261"/>
      <c r="K37" s="261"/>
      <c r="L37" s="261"/>
      <c r="M37" s="261"/>
      <c r="N37" s="261"/>
      <c r="O37" s="261"/>
      <c r="P37" s="261"/>
      <c r="Q37" s="261"/>
      <c r="R37" s="261"/>
      <c r="S37" s="30"/>
      <c r="T37" s="30"/>
      <c r="U37" s="30"/>
      <c r="V37" s="30"/>
      <c r="W37" s="31"/>
      <c r="X37" s="33"/>
      <c r="Y37" s="33"/>
      <c r="Z37" s="33"/>
      <c r="AA37" s="33"/>
      <c r="AB37" s="33"/>
      <c r="AC37" s="33"/>
      <c r="AD37" s="33"/>
      <c r="AE37" s="33"/>
      <c r="AF37" s="33"/>
      <c r="AG37" s="33"/>
      <c r="AH37" s="33"/>
      <c r="AI37" s="33"/>
      <c r="AJ37" s="31"/>
      <c r="AK37" s="31"/>
      <c r="AL37" s="31"/>
      <c r="AM37" s="31"/>
    </row>
    <row r="38" spans="1:39" ht="18.75" customHeight="1" x14ac:dyDescent="0.25">
      <c r="A38" s="261" t="s">
        <v>64</v>
      </c>
      <c r="B38" s="261"/>
      <c r="C38" s="261"/>
      <c r="D38" s="261"/>
      <c r="E38" s="261"/>
      <c r="F38" s="261"/>
      <c r="G38" s="261"/>
      <c r="H38" s="261"/>
      <c r="I38" s="261"/>
      <c r="J38" s="261"/>
      <c r="K38" s="261"/>
      <c r="L38" s="261"/>
      <c r="M38" s="261"/>
      <c r="N38" s="261"/>
      <c r="O38" s="261"/>
      <c r="P38" s="261"/>
      <c r="Q38" s="261"/>
      <c r="R38" s="261"/>
      <c r="S38" s="30"/>
      <c r="T38" s="30"/>
      <c r="U38" s="30"/>
      <c r="V38" s="30"/>
      <c r="W38" s="31"/>
      <c r="X38" s="33"/>
      <c r="Y38" s="33"/>
      <c r="Z38" s="33"/>
      <c r="AA38" s="33"/>
      <c r="AB38" s="33"/>
      <c r="AC38" s="33"/>
      <c r="AD38" s="33"/>
      <c r="AE38" s="33"/>
      <c r="AF38" s="33"/>
      <c r="AG38" s="33"/>
      <c r="AH38" s="33"/>
      <c r="AI38" s="33"/>
      <c r="AJ38" s="31"/>
      <c r="AK38" s="31"/>
      <c r="AL38" s="31"/>
      <c r="AM38" s="31"/>
    </row>
    <row r="39" spans="1:39" ht="18.75" customHeight="1" x14ac:dyDescent="0.25">
      <c r="A39" s="261" t="s">
        <v>65</v>
      </c>
      <c r="B39" s="261"/>
      <c r="C39" s="261"/>
      <c r="D39" s="261"/>
      <c r="E39" s="261"/>
      <c r="F39" s="261"/>
      <c r="G39" s="261"/>
      <c r="H39" s="261"/>
      <c r="I39" s="261"/>
      <c r="J39" s="261"/>
      <c r="K39" s="261"/>
      <c r="L39" s="261"/>
      <c r="M39" s="261"/>
      <c r="N39" s="261"/>
      <c r="O39" s="261"/>
      <c r="P39" s="261"/>
      <c r="Q39" s="261"/>
      <c r="R39" s="261"/>
      <c r="S39" s="30"/>
      <c r="T39" s="30"/>
      <c r="U39" s="30"/>
      <c r="V39" s="30"/>
      <c r="W39" s="31"/>
      <c r="X39" s="33"/>
      <c r="Y39" s="33"/>
      <c r="Z39" s="33"/>
      <c r="AA39" s="33"/>
      <c r="AB39" s="33"/>
      <c r="AC39" s="33"/>
      <c r="AD39" s="33"/>
      <c r="AE39" s="33"/>
      <c r="AF39" s="33"/>
      <c r="AG39" s="33"/>
      <c r="AH39" s="33"/>
      <c r="AI39" s="33"/>
      <c r="AJ39" s="31"/>
      <c r="AK39" s="31"/>
      <c r="AL39" s="31"/>
      <c r="AM39" s="31"/>
    </row>
    <row r="40" spans="1:39" ht="18.75" customHeight="1" x14ac:dyDescent="0.25">
      <c r="A40" s="261" t="s">
        <v>66</v>
      </c>
      <c r="B40" s="261"/>
      <c r="C40" s="261"/>
      <c r="D40" s="261"/>
      <c r="E40" s="261"/>
      <c r="F40" s="261"/>
      <c r="G40" s="261"/>
      <c r="H40" s="261"/>
      <c r="I40" s="261"/>
      <c r="J40" s="34"/>
      <c r="K40" s="34"/>
      <c r="L40" s="34"/>
      <c r="M40" s="34"/>
      <c r="N40" s="34"/>
      <c r="O40" s="34"/>
      <c r="P40" s="34"/>
      <c r="Q40" s="34"/>
      <c r="R40" s="34"/>
      <c r="S40" s="30"/>
      <c r="T40" s="30"/>
      <c r="U40" s="30"/>
      <c r="V40" s="30"/>
      <c r="W40" s="31"/>
      <c r="X40" s="33"/>
      <c r="Y40" s="33"/>
      <c r="Z40" s="33"/>
      <c r="AA40" s="33"/>
      <c r="AB40" s="33"/>
      <c r="AC40" s="33"/>
      <c r="AD40" s="33"/>
      <c r="AE40" s="33"/>
      <c r="AF40" s="33"/>
      <c r="AG40" s="33"/>
      <c r="AH40" s="33"/>
      <c r="AI40" s="33"/>
      <c r="AJ40" s="31"/>
      <c r="AK40" s="31"/>
      <c r="AL40" s="31"/>
      <c r="AM40" s="31"/>
    </row>
    <row r="41" spans="1:39" ht="18.75" customHeight="1" x14ac:dyDescent="0.25">
      <c r="A41" s="212" t="s">
        <v>82</v>
      </c>
      <c r="B41" s="212"/>
      <c r="C41" s="212"/>
      <c r="D41" s="212"/>
      <c r="E41" s="212"/>
      <c r="F41" s="212"/>
      <c r="G41" s="212"/>
      <c r="H41" s="212"/>
      <c r="I41" s="212"/>
      <c r="J41" s="212"/>
      <c r="K41" s="212"/>
      <c r="L41" s="212"/>
      <c r="M41" s="212"/>
      <c r="N41" s="212"/>
      <c r="O41" s="212"/>
      <c r="P41" s="212"/>
      <c r="Q41" s="212"/>
      <c r="R41" s="30"/>
      <c r="S41" s="30"/>
      <c r="T41" s="30"/>
      <c r="U41" s="30"/>
      <c r="V41" s="30"/>
      <c r="W41" s="31"/>
      <c r="X41" s="33"/>
      <c r="Y41" s="33"/>
      <c r="Z41" s="33"/>
      <c r="AA41" s="33"/>
      <c r="AB41" s="33"/>
      <c r="AC41" s="33"/>
      <c r="AD41" s="33"/>
      <c r="AE41" s="33"/>
      <c r="AF41" s="33"/>
      <c r="AG41" s="33"/>
      <c r="AH41" s="33"/>
      <c r="AI41" s="33"/>
      <c r="AJ41" s="31"/>
      <c r="AK41" s="31"/>
      <c r="AL41" s="31"/>
      <c r="AM41" s="31"/>
    </row>
    <row r="42" spans="1:39" ht="17.25" customHeight="1" x14ac:dyDescent="0.25">
      <c r="A42" s="261" t="s">
        <v>68</v>
      </c>
      <c r="B42" s="261"/>
      <c r="C42" s="261"/>
      <c r="D42" s="261"/>
      <c r="E42" s="261"/>
      <c r="F42" s="261"/>
      <c r="G42" s="261"/>
      <c r="H42" s="261"/>
      <c r="I42" s="261"/>
      <c r="J42" s="261"/>
      <c r="K42" s="261"/>
      <c r="L42" s="261"/>
      <c r="M42" s="261"/>
      <c r="N42" s="261"/>
      <c r="O42" s="261"/>
      <c r="P42" s="261"/>
      <c r="Q42" s="261"/>
      <c r="R42" s="261"/>
      <c r="S42" s="31"/>
      <c r="T42" s="31"/>
      <c r="U42" s="31"/>
      <c r="V42" s="31"/>
      <c r="W42" s="31"/>
      <c r="X42" s="33"/>
      <c r="Y42" s="33"/>
      <c r="Z42" s="33"/>
      <c r="AA42" s="33"/>
      <c r="AB42" s="33"/>
      <c r="AC42" s="33"/>
      <c r="AD42" s="33"/>
      <c r="AE42" s="33"/>
      <c r="AF42" s="33"/>
      <c r="AG42" s="33"/>
      <c r="AH42" s="33"/>
      <c r="AI42" s="33"/>
      <c r="AJ42" s="31"/>
      <c r="AK42" s="31"/>
      <c r="AL42" s="31"/>
      <c r="AM42" s="31"/>
    </row>
    <row r="43" spans="1:39" s="30" customFormat="1" ht="15.75" customHeight="1" x14ac:dyDescent="0.25">
      <c r="A43" s="261" t="s">
        <v>69</v>
      </c>
      <c r="B43" s="261"/>
      <c r="C43" s="261"/>
      <c r="D43" s="261"/>
      <c r="E43" s="261"/>
      <c r="F43" s="261"/>
      <c r="G43" s="261"/>
      <c r="H43" s="261"/>
      <c r="I43" s="261"/>
      <c r="J43" s="261"/>
      <c r="K43" s="261"/>
      <c r="L43" s="261"/>
      <c r="M43" s="261"/>
      <c r="N43" s="261"/>
      <c r="O43" s="261"/>
      <c r="P43" s="261"/>
      <c r="Q43" s="261"/>
      <c r="R43" s="261"/>
    </row>
    <row r="44" spans="1:39" s="30" customFormat="1" ht="17.25" customHeight="1" x14ac:dyDescent="0.25">
      <c r="A44" s="261" t="s">
        <v>83</v>
      </c>
      <c r="B44" s="261"/>
      <c r="C44" s="261"/>
      <c r="D44" s="261"/>
      <c r="E44" s="261"/>
      <c r="F44" s="261"/>
      <c r="G44" s="261"/>
      <c r="H44" s="261"/>
      <c r="I44" s="261"/>
      <c r="J44" s="261"/>
      <c r="K44" s="261"/>
      <c r="L44" s="261"/>
      <c r="M44" s="261"/>
      <c r="N44" s="261"/>
      <c r="O44" s="261"/>
      <c r="P44" s="261"/>
      <c r="Q44" s="261"/>
      <c r="R44" s="261"/>
    </row>
    <row r="45" spans="1:39" s="30" customFormat="1" ht="12.75" x14ac:dyDescent="0.25">
      <c r="A45" s="30" t="s">
        <v>84</v>
      </c>
    </row>
    <row r="46" spans="1:39" x14ac:dyDescent="0.25">
      <c r="A46" s="38"/>
      <c r="B46" s="18" t="s">
        <v>85</v>
      </c>
    </row>
  </sheetData>
  <mergeCells count="166">
    <mergeCell ref="C17:C18"/>
    <mergeCell ref="B17:B18"/>
    <mergeCell ref="A17:A18"/>
    <mergeCell ref="D17:D18"/>
    <mergeCell ref="E17:E18"/>
    <mergeCell ref="F17:F18"/>
    <mergeCell ref="G17:G18"/>
    <mergeCell ref="H17:H18"/>
    <mergeCell ref="I17:I18"/>
    <mergeCell ref="J31:J32"/>
    <mergeCell ref="K31:K32"/>
    <mergeCell ref="A31:A32"/>
    <mergeCell ref="B31:B32"/>
    <mergeCell ref="C31:C32"/>
    <mergeCell ref="D31:D32"/>
    <mergeCell ref="F31:F32"/>
    <mergeCell ref="E31:E32"/>
    <mergeCell ref="G31:G32"/>
    <mergeCell ref="H31:H32"/>
    <mergeCell ref="I31:I32"/>
    <mergeCell ref="J23:J24"/>
    <mergeCell ref="J25:J26"/>
    <mergeCell ref="J27:J28"/>
    <mergeCell ref="J29:J30"/>
    <mergeCell ref="K11:K12"/>
    <mergeCell ref="K13:K14"/>
    <mergeCell ref="K15:K16"/>
    <mergeCell ref="K19:K20"/>
    <mergeCell ref="K21:K22"/>
    <mergeCell ref="K23:K24"/>
    <mergeCell ref="K25:K26"/>
    <mergeCell ref="K27:K28"/>
    <mergeCell ref="K29:K30"/>
    <mergeCell ref="J11:J12"/>
    <mergeCell ref="J13:J14"/>
    <mergeCell ref="J15:J16"/>
    <mergeCell ref="J19:J20"/>
    <mergeCell ref="J21:J22"/>
    <mergeCell ref="J17:J18"/>
    <mergeCell ref="K17:K18"/>
    <mergeCell ref="H23:H24"/>
    <mergeCell ref="H25:H26"/>
    <mergeCell ref="H27:H28"/>
    <mergeCell ref="H29:H30"/>
    <mergeCell ref="I9:I10"/>
    <mergeCell ref="I11:I12"/>
    <mergeCell ref="I13:I14"/>
    <mergeCell ref="I15:I16"/>
    <mergeCell ref="I19:I20"/>
    <mergeCell ref="I21:I22"/>
    <mergeCell ref="I23:I24"/>
    <mergeCell ref="I25:I26"/>
    <mergeCell ref="I27:I28"/>
    <mergeCell ref="I29:I30"/>
    <mergeCell ref="H11:H12"/>
    <mergeCell ref="H13:H14"/>
    <mergeCell ref="H15:H16"/>
    <mergeCell ref="H19:H20"/>
    <mergeCell ref="H21:H22"/>
    <mergeCell ref="F23:F24"/>
    <mergeCell ref="F25:F26"/>
    <mergeCell ref="F27:F28"/>
    <mergeCell ref="F29:F30"/>
    <mergeCell ref="G11:G12"/>
    <mergeCell ref="G13:G14"/>
    <mergeCell ref="G15:G16"/>
    <mergeCell ref="G19:G20"/>
    <mergeCell ref="G21:G22"/>
    <mergeCell ref="G23:G24"/>
    <mergeCell ref="G25:G26"/>
    <mergeCell ref="G27:G28"/>
    <mergeCell ref="G29:G30"/>
    <mergeCell ref="F11:F12"/>
    <mergeCell ref="F13:F14"/>
    <mergeCell ref="F15:F16"/>
    <mergeCell ref="F19:F20"/>
    <mergeCell ref="F21:F22"/>
    <mergeCell ref="D27:D28"/>
    <mergeCell ref="D29:D30"/>
    <mergeCell ref="E11:E12"/>
    <mergeCell ref="E13:E14"/>
    <mergeCell ref="E15:E16"/>
    <mergeCell ref="E19:E20"/>
    <mergeCell ref="E21:E22"/>
    <mergeCell ref="E23:E24"/>
    <mergeCell ref="E25:E26"/>
    <mergeCell ref="E27:E28"/>
    <mergeCell ref="E29:E30"/>
    <mergeCell ref="D13:D14"/>
    <mergeCell ref="D11:D12"/>
    <mergeCell ref="D15:D16"/>
    <mergeCell ref="D19:D20"/>
    <mergeCell ref="D21:D22"/>
    <mergeCell ref="B19:B20"/>
    <mergeCell ref="A19:A20"/>
    <mergeCell ref="B27:B28"/>
    <mergeCell ref="B29:B30"/>
    <mergeCell ref="A27:A28"/>
    <mergeCell ref="A29:A30"/>
    <mergeCell ref="A21:A22"/>
    <mergeCell ref="B21:B22"/>
    <mergeCell ref="B23:B24"/>
    <mergeCell ref="A23:A24"/>
    <mergeCell ref="A25:A26"/>
    <mergeCell ref="B25:B26"/>
    <mergeCell ref="A11:A12"/>
    <mergeCell ref="A15:A16"/>
    <mergeCell ref="B11:B12"/>
    <mergeCell ref="B13:B14"/>
    <mergeCell ref="B15:B16"/>
    <mergeCell ref="A13:A14"/>
    <mergeCell ref="E7:E8"/>
    <mergeCell ref="E9:E10"/>
    <mergeCell ref="A9:A10"/>
    <mergeCell ref="B9:B10"/>
    <mergeCell ref="D9:D10"/>
    <mergeCell ref="C11:C12"/>
    <mergeCell ref="C13:C14"/>
    <mergeCell ref="A42:R42"/>
    <mergeCell ref="A43:R43"/>
    <mergeCell ref="A44:R44"/>
    <mergeCell ref="B33:AD33"/>
    <mergeCell ref="A37:R37"/>
    <mergeCell ref="A38:R38"/>
    <mergeCell ref="A39:R39"/>
    <mergeCell ref="A40:I40"/>
    <mergeCell ref="A41:Q41"/>
    <mergeCell ref="F9:F10"/>
    <mergeCell ref="G9:G10"/>
    <mergeCell ref="C9:C10"/>
    <mergeCell ref="C15:C16"/>
    <mergeCell ref="C29:C30"/>
    <mergeCell ref="AC7:AD7"/>
    <mergeCell ref="Z8:AA8"/>
    <mergeCell ref="S7:S8"/>
    <mergeCell ref="T7:U7"/>
    <mergeCell ref="V7:W7"/>
    <mergeCell ref="X7:X8"/>
    <mergeCell ref="Y7:AA7"/>
    <mergeCell ref="AB7:AB8"/>
    <mergeCell ref="R7:R8"/>
    <mergeCell ref="K9:K10"/>
    <mergeCell ref="J9:J10"/>
    <mergeCell ref="H9:H10"/>
    <mergeCell ref="C19:C20"/>
    <mergeCell ref="C21:C22"/>
    <mergeCell ref="C23:C24"/>
    <mergeCell ref="C25:C26"/>
    <mergeCell ref="C27:C28"/>
    <mergeCell ref="D23:D24"/>
    <mergeCell ref="D25:D26"/>
    <mergeCell ref="A1:AD1"/>
    <mergeCell ref="A7:A8"/>
    <mergeCell ref="B7:B8"/>
    <mergeCell ref="C7:C8"/>
    <mergeCell ref="D7:D8"/>
    <mergeCell ref="F7:F8"/>
    <mergeCell ref="G7:G8"/>
    <mergeCell ref="H7:H8"/>
    <mergeCell ref="I7:I8"/>
    <mergeCell ref="J7:J8"/>
    <mergeCell ref="K7:K8"/>
    <mergeCell ref="L7:L8"/>
    <mergeCell ref="M7:N7"/>
    <mergeCell ref="O7:O8"/>
    <mergeCell ref="P7:Q7"/>
  </mergeCells>
  <pageMargins left="0.70866141732283472" right="0.70866141732283472" top="0.74803149606299213" bottom="0.74803149606299213" header="0.31496062992125984" footer="0.31496062992125984"/>
  <pageSetup paperSize="8" scale="56"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J33"/>
  <sheetViews>
    <sheetView view="pageBreakPreview" zoomScale="80" zoomScaleNormal="100" zoomScaleSheetLayoutView="80" workbookViewId="0">
      <selection activeCell="L4" sqref="L4"/>
    </sheetView>
  </sheetViews>
  <sheetFormatPr baseColWidth="10" defaultRowHeight="15" x14ac:dyDescent="0.25"/>
  <cols>
    <col min="2" max="2" width="16.7109375" customWidth="1"/>
    <col min="3" max="3" width="53.28515625" customWidth="1"/>
    <col min="4" max="4" width="14.5703125" customWidth="1"/>
    <col min="5" max="5" width="16.7109375" customWidth="1"/>
    <col min="6" max="6" width="17.85546875" customWidth="1"/>
    <col min="7" max="7" width="16" customWidth="1"/>
    <col min="8" max="8" width="23.85546875" customWidth="1"/>
    <col min="9" max="9" width="16.7109375" customWidth="1"/>
    <col min="10" max="10" width="21.28515625" style="176" customWidth="1"/>
  </cols>
  <sheetData>
    <row r="1" spans="1:10" ht="19.5" x14ac:dyDescent="0.4">
      <c r="A1" s="297" t="s">
        <v>20</v>
      </c>
      <c r="B1" s="297"/>
      <c r="C1" s="297"/>
      <c r="D1" s="297"/>
      <c r="E1" s="297"/>
      <c r="F1" s="297"/>
      <c r="G1" s="297"/>
      <c r="H1" s="297"/>
    </row>
    <row r="2" spans="1:10" ht="19.5" x14ac:dyDescent="0.4">
      <c r="A2" s="297" t="s">
        <v>3</v>
      </c>
      <c r="B2" s="297"/>
      <c r="C2" s="297"/>
      <c r="D2" s="297"/>
      <c r="E2" s="297"/>
      <c r="F2" s="297"/>
      <c r="G2" s="297"/>
      <c r="H2" s="297"/>
    </row>
    <row r="3" spans="1:10" ht="19.5" x14ac:dyDescent="0.4">
      <c r="A3" s="297" t="s">
        <v>230</v>
      </c>
      <c r="B3" s="297"/>
      <c r="C3" s="297"/>
      <c r="D3" s="297"/>
      <c r="E3" s="297"/>
      <c r="F3" s="297"/>
      <c r="G3" s="297"/>
      <c r="H3" s="297"/>
    </row>
    <row r="4" spans="1:10" ht="18.75" x14ac:dyDescent="0.4">
      <c r="A4" s="4"/>
      <c r="B4" s="4"/>
      <c r="C4" s="4"/>
      <c r="D4" s="4"/>
      <c r="E4" s="4"/>
      <c r="F4" s="4"/>
      <c r="G4" s="4"/>
      <c r="H4" s="4"/>
    </row>
    <row r="5" spans="1:10" ht="19.5" x14ac:dyDescent="0.4">
      <c r="A5" s="5" t="s">
        <v>6</v>
      </c>
      <c r="B5" s="6"/>
      <c r="C5" s="12">
        <v>2024</v>
      </c>
      <c r="D5" s="4"/>
      <c r="E5" s="4"/>
      <c r="F5" s="4"/>
      <c r="G5" s="4"/>
      <c r="H5" s="4"/>
    </row>
    <row r="6" spans="1:10" ht="19.5" x14ac:dyDescent="0.4">
      <c r="A6" s="5" t="s">
        <v>8</v>
      </c>
      <c r="B6" s="6"/>
      <c r="C6" s="17" t="s">
        <v>27</v>
      </c>
      <c r="D6" s="4"/>
      <c r="E6" s="4"/>
      <c r="F6" s="4"/>
      <c r="G6" s="4"/>
      <c r="H6" s="4"/>
    </row>
    <row r="7" spans="1:10" ht="18.75" x14ac:dyDescent="0.4">
      <c r="A7" s="199" t="s">
        <v>16</v>
      </c>
      <c r="B7" s="199"/>
      <c r="C7" s="4">
        <v>333</v>
      </c>
      <c r="D7" s="4"/>
      <c r="E7" s="4"/>
      <c r="F7" s="4"/>
      <c r="G7" s="4"/>
      <c r="H7" s="4"/>
    </row>
    <row r="8" spans="1:10" x14ac:dyDescent="0.25">
      <c r="A8" s="1"/>
      <c r="B8" s="1"/>
      <c r="C8" s="1"/>
      <c r="D8" s="1"/>
      <c r="E8" s="1"/>
      <c r="F8" s="1"/>
      <c r="G8" s="1"/>
      <c r="H8" s="1"/>
    </row>
    <row r="9" spans="1:10" ht="15" customHeight="1" x14ac:dyDescent="0.25">
      <c r="A9" s="189" t="s">
        <v>1</v>
      </c>
      <c r="B9" s="189" t="s">
        <v>4</v>
      </c>
      <c r="C9" s="189" t="s">
        <v>15</v>
      </c>
      <c r="D9" s="189" t="s">
        <v>2</v>
      </c>
      <c r="E9" s="189" t="s">
        <v>11</v>
      </c>
      <c r="F9" s="189" t="s">
        <v>12</v>
      </c>
      <c r="G9" s="197" t="s">
        <v>158</v>
      </c>
      <c r="H9" s="189" t="s">
        <v>14</v>
      </c>
      <c r="I9" s="189" t="s">
        <v>39</v>
      </c>
      <c r="J9" s="301" t="s">
        <v>172</v>
      </c>
    </row>
    <row r="10" spans="1:10" ht="42" customHeight="1" x14ac:dyDescent="0.25">
      <c r="A10" s="189"/>
      <c r="B10" s="196"/>
      <c r="C10" s="196"/>
      <c r="D10" s="196"/>
      <c r="E10" s="196"/>
      <c r="F10" s="196"/>
      <c r="G10" s="198"/>
      <c r="H10" s="190"/>
      <c r="I10" s="190"/>
      <c r="J10" s="302"/>
    </row>
    <row r="11" spans="1:10" ht="42" customHeight="1" x14ac:dyDescent="0.25">
      <c r="A11" s="154"/>
      <c r="B11" s="163"/>
      <c r="C11" s="163" t="s">
        <v>29</v>
      </c>
      <c r="D11" s="163"/>
      <c r="E11" s="163"/>
      <c r="F11" s="163"/>
      <c r="G11" s="154"/>
      <c r="H11" s="164"/>
      <c r="I11" s="164"/>
      <c r="J11" s="177"/>
    </row>
    <row r="12" spans="1:10" ht="51" customHeight="1" x14ac:dyDescent="0.25">
      <c r="A12" s="143">
        <v>1</v>
      </c>
      <c r="B12" s="11" t="s">
        <v>28</v>
      </c>
      <c r="C12" s="53" t="s">
        <v>249</v>
      </c>
      <c r="D12" s="8" t="s">
        <v>22</v>
      </c>
      <c r="E12" s="13" t="s">
        <v>29</v>
      </c>
      <c r="F12" s="7" t="s">
        <v>234</v>
      </c>
      <c r="G12" s="8" t="s">
        <v>26</v>
      </c>
      <c r="H12" s="15" t="s">
        <v>33</v>
      </c>
      <c r="I12" s="7">
        <v>6012</v>
      </c>
      <c r="J12" s="178">
        <v>45342</v>
      </c>
    </row>
    <row r="13" spans="1:10" ht="51" customHeight="1" x14ac:dyDescent="0.25">
      <c r="A13" s="143">
        <v>2</v>
      </c>
      <c r="B13" s="11" t="s">
        <v>28</v>
      </c>
      <c r="C13" s="53" t="s">
        <v>250</v>
      </c>
      <c r="D13" s="8" t="s">
        <v>22</v>
      </c>
      <c r="E13" s="13" t="s">
        <v>29</v>
      </c>
      <c r="F13" s="7" t="s">
        <v>32</v>
      </c>
      <c r="G13" s="8" t="s">
        <v>26</v>
      </c>
      <c r="H13" s="15" t="s">
        <v>33</v>
      </c>
      <c r="I13" s="7">
        <v>6011</v>
      </c>
      <c r="J13" s="178">
        <v>45356</v>
      </c>
    </row>
    <row r="14" spans="1:10" ht="51" customHeight="1" x14ac:dyDescent="0.25">
      <c r="A14" s="143">
        <v>3</v>
      </c>
      <c r="B14" s="11" t="s">
        <v>28</v>
      </c>
      <c r="C14" s="53" t="s">
        <v>254</v>
      </c>
      <c r="D14" s="8" t="s">
        <v>22</v>
      </c>
      <c r="E14" s="13" t="s">
        <v>29</v>
      </c>
      <c r="F14" s="7" t="s">
        <v>32</v>
      </c>
      <c r="G14" s="8" t="s">
        <v>26</v>
      </c>
      <c r="H14" s="15" t="s">
        <v>33</v>
      </c>
      <c r="I14" s="7">
        <v>2411</v>
      </c>
      <c r="J14" s="178">
        <v>45356</v>
      </c>
    </row>
    <row r="15" spans="1:10" ht="51" customHeight="1" x14ac:dyDescent="0.25">
      <c r="A15" s="143">
        <v>4</v>
      </c>
      <c r="B15" s="11" t="s">
        <v>28</v>
      </c>
      <c r="C15" s="53" t="s">
        <v>253</v>
      </c>
      <c r="D15" s="8" t="s">
        <v>22</v>
      </c>
      <c r="E15" s="13" t="s">
        <v>29</v>
      </c>
      <c r="F15" s="7" t="s">
        <v>32</v>
      </c>
      <c r="G15" s="8" t="s">
        <v>26</v>
      </c>
      <c r="H15" s="15" t="s">
        <v>33</v>
      </c>
      <c r="I15" s="7">
        <v>2421</v>
      </c>
      <c r="J15" s="178">
        <v>45356</v>
      </c>
    </row>
    <row r="16" spans="1:10" ht="51" customHeight="1" x14ac:dyDescent="0.25">
      <c r="A16" s="143">
        <v>5</v>
      </c>
      <c r="B16" s="11" t="s">
        <v>28</v>
      </c>
      <c r="C16" s="53" t="s">
        <v>252</v>
      </c>
      <c r="D16" s="8" t="s">
        <v>22</v>
      </c>
      <c r="E16" s="13" t="s">
        <v>29</v>
      </c>
      <c r="F16" s="7" t="s">
        <v>32</v>
      </c>
      <c r="G16" s="8" t="s">
        <v>26</v>
      </c>
      <c r="H16" s="15" t="s">
        <v>33</v>
      </c>
      <c r="I16" s="7">
        <v>6014</v>
      </c>
      <c r="J16" s="178">
        <v>45356</v>
      </c>
    </row>
    <row r="17" spans="1:10" ht="51" customHeight="1" x14ac:dyDescent="0.25">
      <c r="A17" s="143">
        <v>6</v>
      </c>
      <c r="B17" s="11" t="s">
        <v>28</v>
      </c>
      <c r="C17" s="53" t="s">
        <v>251</v>
      </c>
      <c r="D17" s="8" t="s">
        <v>22</v>
      </c>
      <c r="E17" s="13" t="s">
        <v>29</v>
      </c>
      <c r="F17" s="7" t="s">
        <v>32</v>
      </c>
      <c r="G17" s="8" t="s">
        <v>26</v>
      </c>
      <c r="H17" s="15" t="s">
        <v>33</v>
      </c>
      <c r="I17" s="7">
        <v>2449</v>
      </c>
      <c r="J17" s="178">
        <v>45366</v>
      </c>
    </row>
    <row r="18" spans="1:10" ht="51" customHeight="1" x14ac:dyDescent="0.25">
      <c r="A18" s="143">
        <v>7</v>
      </c>
      <c r="B18" s="13" t="s">
        <v>30</v>
      </c>
      <c r="C18" s="53" t="s">
        <v>255</v>
      </c>
      <c r="D18" s="8" t="s">
        <v>22</v>
      </c>
      <c r="E18" s="13" t="s">
        <v>29</v>
      </c>
      <c r="F18" s="7" t="s">
        <v>32</v>
      </c>
      <c r="G18" s="8" t="s">
        <v>26</v>
      </c>
      <c r="H18" s="15" t="s">
        <v>33</v>
      </c>
      <c r="I18" s="7">
        <v>6221</v>
      </c>
      <c r="J18" s="178">
        <v>45366</v>
      </c>
    </row>
    <row r="19" spans="1:10" ht="51" customHeight="1" x14ac:dyDescent="0.25">
      <c r="A19" s="143">
        <v>8</v>
      </c>
      <c r="B19" s="11" t="s">
        <v>28</v>
      </c>
      <c r="C19" s="53" t="s">
        <v>247</v>
      </c>
      <c r="D19" s="8" t="s">
        <v>22</v>
      </c>
      <c r="E19" s="13" t="s">
        <v>29</v>
      </c>
      <c r="F19" s="7" t="s">
        <v>32</v>
      </c>
      <c r="G19" s="8" t="s">
        <v>26</v>
      </c>
      <c r="H19" s="15" t="s">
        <v>33</v>
      </c>
      <c r="I19" s="11" t="s">
        <v>248</v>
      </c>
      <c r="J19" s="178">
        <v>45448</v>
      </c>
    </row>
    <row r="20" spans="1:10" ht="42" customHeight="1" x14ac:dyDescent="0.25">
      <c r="A20" s="149"/>
      <c r="B20" s="149"/>
      <c r="C20" s="175" t="s">
        <v>23</v>
      </c>
      <c r="D20" s="149"/>
      <c r="E20" s="149"/>
      <c r="F20" s="149"/>
      <c r="G20" s="149"/>
      <c r="H20" s="149"/>
      <c r="I20" s="149"/>
      <c r="J20" s="179"/>
    </row>
    <row r="21" spans="1:10" ht="51" customHeight="1" x14ac:dyDescent="0.25">
      <c r="A21" s="143">
        <v>1</v>
      </c>
      <c r="B21" s="11" t="s">
        <v>28</v>
      </c>
      <c r="C21" s="53" t="s">
        <v>256</v>
      </c>
      <c r="D21" s="8" t="s">
        <v>22</v>
      </c>
      <c r="E21" s="13" t="s">
        <v>23</v>
      </c>
      <c r="F21" s="7" t="s">
        <v>222</v>
      </c>
      <c r="G21" s="8" t="s">
        <v>26</v>
      </c>
      <c r="H21" s="15">
        <v>45422</v>
      </c>
      <c r="I21" s="7">
        <v>2343</v>
      </c>
      <c r="J21" s="178">
        <v>45392</v>
      </c>
    </row>
    <row r="22" spans="1:10" ht="42" customHeight="1" x14ac:dyDescent="0.25">
      <c r="A22" s="158"/>
      <c r="B22" s="160"/>
      <c r="C22" s="158" t="s">
        <v>227</v>
      </c>
      <c r="D22" s="159"/>
      <c r="E22" s="160"/>
      <c r="F22" s="161"/>
      <c r="G22" s="159"/>
      <c r="H22" s="162"/>
      <c r="I22" s="161"/>
      <c r="J22" s="180"/>
    </row>
    <row r="23" spans="1:10" ht="51" customHeight="1" x14ac:dyDescent="0.25">
      <c r="A23" s="143">
        <v>1</v>
      </c>
      <c r="B23" s="11" t="s">
        <v>28</v>
      </c>
      <c r="C23" s="53" t="s">
        <v>176</v>
      </c>
      <c r="D23" s="8" t="s">
        <v>22</v>
      </c>
      <c r="E23" s="13" t="s">
        <v>136</v>
      </c>
      <c r="F23" s="7" t="s">
        <v>32</v>
      </c>
      <c r="G23" s="8" t="s">
        <v>26</v>
      </c>
      <c r="H23" s="15" t="s">
        <v>33</v>
      </c>
      <c r="I23" s="7">
        <v>6149</v>
      </c>
      <c r="J23" s="178">
        <v>45322</v>
      </c>
    </row>
    <row r="24" spans="1:10" ht="51" customHeight="1" x14ac:dyDescent="0.25">
      <c r="A24" s="143">
        <v>2</v>
      </c>
      <c r="B24" s="11" t="s">
        <v>28</v>
      </c>
      <c r="C24" s="53" t="s">
        <v>175</v>
      </c>
      <c r="D24" s="8" t="s">
        <v>22</v>
      </c>
      <c r="E24" s="13" t="s">
        <v>136</v>
      </c>
      <c r="F24" s="7" t="s">
        <v>32</v>
      </c>
      <c r="G24" s="8" t="s">
        <v>26</v>
      </c>
      <c r="H24" s="15" t="s">
        <v>33</v>
      </c>
      <c r="I24" s="7">
        <v>6225</v>
      </c>
      <c r="J24" s="178">
        <v>45322</v>
      </c>
    </row>
    <row r="25" spans="1:10" ht="51" customHeight="1" x14ac:dyDescent="0.25">
      <c r="A25" s="143">
        <v>3</v>
      </c>
      <c r="B25" s="11" t="s">
        <v>28</v>
      </c>
      <c r="C25" s="53" t="s">
        <v>174</v>
      </c>
      <c r="D25" s="8" t="s">
        <v>22</v>
      </c>
      <c r="E25" s="13" t="s">
        <v>136</v>
      </c>
      <c r="F25" s="7" t="s">
        <v>32</v>
      </c>
      <c r="G25" s="8" t="s">
        <v>26</v>
      </c>
      <c r="H25" s="15" t="s">
        <v>33</v>
      </c>
      <c r="I25" s="7">
        <v>6141</v>
      </c>
      <c r="J25" s="178">
        <v>45322</v>
      </c>
    </row>
    <row r="26" spans="1:10" ht="27.75" customHeight="1" x14ac:dyDescent="0.25">
      <c r="A26" s="2"/>
      <c r="B26" s="303" t="s">
        <v>245</v>
      </c>
      <c r="C26" s="303"/>
      <c r="D26" s="303"/>
      <c r="E26" s="303"/>
      <c r="F26" s="303"/>
      <c r="G26" s="303"/>
      <c r="H26" s="303"/>
      <c r="I26" s="303"/>
      <c r="J26" s="303"/>
    </row>
    <row r="27" spans="1:10" x14ac:dyDescent="0.25">
      <c r="A27" s="1"/>
      <c r="B27" s="1"/>
      <c r="C27" s="1"/>
      <c r="D27" s="1"/>
      <c r="E27" s="1"/>
      <c r="F27" s="1"/>
      <c r="G27" s="1"/>
      <c r="H27" s="1"/>
    </row>
    <row r="28" spans="1:10" ht="15.75" x14ac:dyDescent="0.25">
      <c r="A28" s="10" t="s">
        <v>19</v>
      </c>
    </row>
    <row r="29" spans="1:10" x14ac:dyDescent="0.25">
      <c r="A29" s="3"/>
    </row>
    <row r="30" spans="1:10" ht="34.5" customHeight="1" x14ac:dyDescent="0.25">
      <c r="A30" s="298" t="s">
        <v>17</v>
      </c>
      <c r="B30" s="298"/>
      <c r="C30" s="298"/>
      <c r="D30" s="298"/>
      <c r="E30" s="298"/>
      <c r="F30" s="298"/>
      <c r="G30" s="298"/>
      <c r="H30" s="298"/>
    </row>
    <row r="31" spans="1:10" ht="80.25" customHeight="1" x14ac:dyDescent="0.25">
      <c r="A31" s="298" t="s">
        <v>18</v>
      </c>
      <c r="B31" s="298"/>
      <c r="C31" s="298"/>
      <c r="D31" s="298"/>
      <c r="E31" s="298"/>
      <c r="F31" s="298"/>
      <c r="G31" s="298"/>
      <c r="H31" s="298"/>
    </row>
    <row r="32" spans="1:10" ht="15.75" x14ac:dyDescent="0.25">
      <c r="A32" s="9"/>
      <c r="B32" s="9"/>
      <c r="C32" s="9"/>
      <c r="D32" s="9"/>
      <c r="E32" s="9"/>
      <c r="F32" s="9"/>
      <c r="G32" s="9"/>
      <c r="H32" s="9"/>
    </row>
    <row r="33" spans="1:8" ht="24" customHeight="1" x14ac:dyDescent="0.25">
      <c r="A33" s="299" t="s">
        <v>21</v>
      </c>
      <c r="B33" s="300"/>
      <c r="C33" s="300"/>
      <c r="D33" s="300"/>
      <c r="E33" s="300"/>
      <c r="F33" s="300"/>
      <c r="G33" s="300"/>
      <c r="H33" s="300"/>
    </row>
  </sheetData>
  <mergeCells count="18">
    <mergeCell ref="A30:H30"/>
    <mergeCell ref="A33:H33"/>
    <mergeCell ref="A31:H31"/>
    <mergeCell ref="J9:J10"/>
    <mergeCell ref="I9:I10"/>
    <mergeCell ref="B26:J26"/>
    <mergeCell ref="A1:H1"/>
    <mergeCell ref="A2:H2"/>
    <mergeCell ref="A3:H3"/>
    <mergeCell ref="A7:B7"/>
    <mergeCell ref="A9:A10"/>
    <mergeCell ref="B9:B10"/>
    <mergeCell ref="C9:C10"/>
    <mergeCell ref="D9:D10"/>
    <mergeCell ref="E9:E10"/>
    <mergeCell ref="F9:F10"/>
    <mergeCell ref="G9:G10"/>
    <mergeCell ref="H9:H10"/>
  </mergeCells>
  <pageMargins left="0.25" right="0.25" top="0.75" bottom="0.75" header="0.3" footer="0.3"/>
  <pageSetup paperSize="9" scale="68"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AB51"/>
  <sheetViews>
    <sheetView topLeftCell="A13" zoomScaleNormal="100" workbookViewId="0">
      <selection activeCell="B17" sqref="B17"/>
    </sheetView>
  </sheetViews>
  <sheetFormatPr baseColWidth="10" defaultColWidth="11.42578125" defaultRowHeight="15" x14ac:dyDescent="0.25"/>
  <cols>
    <col min="1" max="1" width="6.85546875" style="18" customWidth="1"/>
    <col min="2" max="2" width="34.28515625" style="18" customWidth="1"/>
    <col min="3" max="4" width="11.7109375" style="18" customWidth="1"/>
    <col min="5" max="5" width="10.28515625" style="18" customWidth="1"/>
    <col min="6" max="6" width="12.140625" style="18" customWidth="1"/>
    <col min="7" max="7" width="10.28515625" style="18" customWidth="1"/>
    <col min="8" max="8" width="14.42578125" style="18" customWidth="1"/>
    <col min="9" max="10" width="11.42578125" style="18" customWidth="1"/>
    <col min="11" max="11" width="15.42578125" style="18" customWidth="1"/>
    <col min="12" max="13" width="13.7109375" style="18" customWidth="1"/>
    <col min="14" max="14" width="13" style="18" customWidth="1"/>
    <col min="15" max="15" width="13.140625" style="18" customWidth="1"/>
    <col min="16" max="16" width="9.7109375" style="18" customWidth="1"/>
    <col min="17" max="18" width="10.42578125" style="18" customWidth="1"/>
    <col min="19" max="19" width="10" style="18" customWidth="1"/>
    <col min="20" max="20" width="0.140625" style="18" customWidth="1"/>
    <col min="21" max="21" width="12.28515625" style="18" customWidth="1"/>
    <col min="22" max="22" width="10.5703125" style="18" customWidth="1"/>
    <col min="23" max="23" width="7.7109375" style="18" hidden="1" customWidth="1"/>
    <col min="24" max="24" width="10.5703125" style="18" customWidth="1"/>
    <col min="25" max="25" width="11.42578125" style="18" customWidth="1"/>
    <col min="26" max="16384" width="11.42578125" style="18"/>
  </cols>
  <sheetData>
    <row r="1" spans="1:26" ht="24.75" customHeight="1" x14ac:dyDescent="0.25">
      <c r="A1" s="305" t="s">
        <v>86</v>
      </c>
      <c r="B1" s="305"/>
      <c r="C1" s="305"/>
      <c r="D1" s="305"/>
      <c r="E1" s="305"/>
      <c r="F1" s="305"/>
      <c r="G1" s="305"/>
      <c r="H1" s="305"/>
      <c r="I1" s="305"/>
      <c r="J1" s="305"/>
      <c r="K1" s="305"/>
      <c r="L1" s="305"/>
      <c r="M1" s="305"/>
      <c r="N1" s="305"/>
      <c r="O1" s="305"/>
      <c r="P1" s="305"/>
      <c r="Q1" s="305"/>
      <c r="R1" s="305"/>
      <c r="S1" s="305"/>
      <c r="T1" s="305"/>
      <c r="U1" s="305"/>
      <c r="V1" s="305"/>
      <c r="W1" s="305"/>
      <c r="X1" s="305"/>
      <c r="Y1" s="305"/>
    </row>
    <row r="2" spans="1:26" ht="7.5" customHeight="1" x14ac:dyDescent="0.25">
      <c r="A2" s="19"/>
      <c r="B2" s="19"/>
      <c r="C2" s="19"/>
      <c r="D2" s="19"/>
      <c r="E2" s="19"/>
      <c r="F2" s="19"/>
      <c r="G2" s="19"/>
      <c r="H2" s="19"/>
      <c r="I2" s="19"/>
      <c r="J2" s="19"/>
      <c r="K2" s="19"/>
      <c r="L2" s="19"/>
      <c r="M2" s="19"/>
      <c r="N2" s="19"/>
      <c r="O2" s="19"/>
      <c r="P2" s="19"/>
      <c r="Q2" s="19"/>
      <c r="R2" s="19"/>
      <c r="S2" s="19"/>
      <c r="T2" s="19"/>
      <c r="U2" s="19"/>
      <c r="V2" s="19"/>
      <c r="W2" s="19"/>
      <c r="X2" s="19"/>
      <c r="Y2" s="19"/>
    </row>
    <row r="3" spans="1:26" ht="19.899999999999999" customHeight="1" x14ac:dyDescent="0.25">
      <c r="A3" s="19"/>
      <c r="B3" s="19"/>
      <c r="C3" s="19"/>
      <c r="D3" s="19"/>
      <c r="E3" s="19"/>
      <c r="F3" s="19"/>
      <c r="G3" s="19"/>
      <c r="H3" s="19"/>
      <c r="I3" s="19"/>
      <c r="J3" s="19"/>
      <c r="K3" s="19"/>
      <c r="L3" s="19"/>
      <c r="M3" s="19"/>
      <c r="N3" s="19"/>
      <c r="P3" s="21" t="s">
        <v>6</v>
      </c>
      <c r="R3" s="51">
        <v>2022</v>
      </c>
      <c r="S3" s="19"/>
      <c r="T3" s="19"/>
      <c r="U3" s="19"/>
      <c r="V3" s="19"/>
      <c r="W3" s="19"/>
      <c r="X3" s="19"/>
      <c r="Y3" s="19"/>
    </row>
    <row r="4" spans="1:26" ht="19.899999999999999" customHeight="1" x14ac:dyDescent="0.25">
      <c r="A4" s="19"/>
      <c r="B4" s="19"/>
      <c r="C4" s="19"/>
      <c r="D4" s="19"/>
      <c r="E4" s="19"/>
      <c r="F4" s="19"/>
      <c r="G4" s="19"/>
      <c r="H4" s="19"/>
      <c r="I4" s="19"/>
      <c r="J4" s="19"/>
      <c r="K4" s="19"/>
      <c r="L4" s="19"/>
      <c r="M4" s="19"/>
      <c r="N4" s="19"/>
      <c r="P4" s="21" t="s">
        <v>35</v>
      </c>
      <c r="R4" s="51">
        <v>33</v>
      </c>
      <c r="S4" s="19"/>
      <c r="T4" s="19"/>
      <c r="U4" s="19"/>
      <c r="V4" s="19"/>
      <c r="W4" s="19"/>
      <c r="X4" s="19"/>
      <c r="Y4" s="19"/>
    </row>
    <row r="5" spans="1:26" ht="19.899999999999999" customHeight="1" x14ac:dyDescent="0.25">
      <c r="A5" s="19"/>
      <c r="B5" s="19"/>
      <c r="C5" s="19"/>
      <c r="D5" s="19"/>
      <c r="H5" s="19"/>
      <c r="I5" s="19"/>
      <c r="J5" s="19"/>
      <c r="K5" s="19"/>
      <c r="L5" s="19"/>
      <c r="M5" s="19"/>
      <c r="N5" s="19"/>
      <c r="P5" s="21" t="s">
        <v>36</v>
      </c>
      <c r="Q5" s="19"/>
      <c r="R5" s="39" t="s">
        <v>27</v>
      </c>
      <c r="S5" s="40"/>
      <c r="T5" s="40"/>
      <c r="U5" s="40"/>
      <c r="V5" s="40"/>
      <c r="W5" s="40"/>
      <c r="X5" s="40"/>
      <c r="Y5" s="40"/>
      <c r="Z5" s="40"/>
    </row>
    <row r="6" spans="1:26" ht="19.899999999999999" customHeight="1" x14ac:dyDescent="0.25">
      <c r="A6" s="306" t="s">
        <v>150</v>
      </c>
      <c r="B6" s="306"/>
      <c r="C6" s="306"/>
      <c r="D6" s="306"/>
      <c r="E6" s="306"/>
      <c r="F6" s="306"/>
      <c r="G6" s="306"/>
      <c r="H6" s="306"/>
      <c r="I6" s="306"/>
      <c r="J6" s="306"/>
      <c r="K6" s="306"/>
      <c r="L6" s="306"/>
      <c r="M6" s="306"/>
      <c r="N6" s="306"/>
      <c r="O6" s="306"/>
      <c r="P6" s="306"/>
      <c r="Q6" s="306"/>
      <c r="R6" s="306"/>
      <c r="S6" s="306"/>
      <c r="T6" s="306"/>
      <c r="U6" s="306"/>
      <c r="V6" s="306"/>
      <c r="W6" s="306"/>
      <c r="X6" s="306"/>
      <c r="Y6" s="306"/>
    </row>
    <row r="7" spans="1:26" ht="6.75" customHeight="1" x14ac:dyDescent="0.25">
      <c r="A7" s="23"/>
      <c r="B7" s="23"/>
      <c r="C7" s="23"/>
      <c r="D7" s="23"/>
      <c r="E7" s="23"/>
      <c r="F7" s="23"/>
      <c r="G7" s="23"/>
      <c r="H7" s="23"/>
      <c r="I7" s="23"/>
      <c r="J7" s="23"/>
      <c r="K7" s="23"/>
      <c r="L7" s="23"/>
      <c r="M7" s="23"/>
      <c r="N7" s="23"/>
      <c r="O7" s="23"/>
      <c r="P7" s="23"/>
      <c r="Q7" s="23"/>
      <c r="R7" s="23"/>
      <c r="S7" s="23"/>
      <c r="T7" s="23"/>
      <c r="U7" s="23"/>
      <c r="V7" s="23"/>
      <c r="W7" s="23"/>
      <c r="X7" s="23"/>
      <c r="Y7" s="23"/>
    </row>
    <row r="8" spans="1:26" s="24" customFormat="1" ht="46.5" customHeight="1" x14ac:dyDescent="0.25">
      <c r="A8" s="307" t="s">
        <v>1</v>
      </c>
      <c r="B8" s="304" t="s">
        <v>37</v>
      </c>
      <c r="C8" s="304" t="s">
        <v>38</v>
      </c>
      <c r="D8" s="308" t="s">
        <v>144</v>
      </c>
      <c r="E8" s="304" t="s">
        <v>39</v>
      </c>
      <c r="F8" s="304" t="s">
        <v>40</v>
      </c>
      <c r="G8" s="308" t="s">
        <v>87</v>
      </c>
      <c r="H8" s="304" t="s">
        <v>88</v>
      </c>
      <c r="I8" s="304" t="s">
        <v>89</v>
      </c>
      <c r="J8" s="304" t="s">
        <v>90</v>
      </c>
      <c r="K8" s="304" t="s">
        <v>91</v>
      </c>
      <c r="L8" s="308" t="s">
        <v>143</v>
      </c>
      <c r="M8" s="308" t="s">
        <v>92</v>
      </c>
      <c r="N8" s="304" t="s">
        <v>93</v>
      </c>
      <c r="O8" s="304" t="s">
        <v>94</v>
      </c>
      <c r="P8" s="304" t="s">
        <v>95</v>
      </c>
      <c r="Q8" s="304"/>
      <c r="R8" s="304" t="s">
        <v>96</v>
      </c>
      <c r="S8" s="304" t="s">
        <v>97</v>
      </c>
      <c r="T8" s="304"/>
      <c r="U8" s="304" t="s">
        <v>52</v>
      </c>
      <c r="V8" s="304"/>
      <c r="W8" s="304"/>
      <c r="X8" s="304" t="s">
        <v>54</v>
      </c>
      <c r="Y8" s="304"/>
    </row>
    <row r="9" spans="1:26" s="24" customFormat="1" ht="69" customHeight="1" x14ac:dyDescent="0.25">
      <c r="A9" s="307"/>
      <c r="B9" s="304"/>
      <c r="C9" s="304"/>
      <c r="D9" s="205"/>
      <c r="E9" s="304"/>
      <c r="F9" s="304"/>
      <c r="G9" s="205"/>
      <c r="H9" s="304"/>
      <c r="I9" s="304"/>
      <c r="J9" s="304"/>
      <c r="K9" s="304"/>
      <c r="L9" s="205"/>
      <c r="M9" s="205"/>
      <c r="N9" s="304"/>
      <c r="O9" s="304"/>
      <c r="P9" s="77" t="s">
        <v>57</v>
      </c>
      <c r="Q9" s="77" t="s">
        <v>58</v>
      </c>
      <c r="R9" s="304"/>
      <c r="S9" s="304"/>
      <c r="T9" s="304"/>
      <c r="U9" s="77" t="s">
        <v>98</v>
      </c>
      <c r="V9" s="78" t="s">
        <v>99</v>
      </c>
      <c r="W9" s="78"/>
      <c r="X9" s="77" t="s">
        <v>60</v>
      </c>
      <c r="Y9" s="77" t="s">
        <v>61</v>
      </c>
    </row>
    <row r="10" spans="1:26" ht="32.450000000000003" customHeight="1" x14ac:dyDescent="0.25">
      <c r="A10" s="42">
        <v>1</v>
      </c>
      <c r="B10" s="49" t="s">
        <v>149</v>
      </c>
      <c r="C10" s="66" t="s">
        <v>28</v>
      </c>
      <c r="D10" s="28" t="s">
        <v>183</v>
      </c>
      <c r="E10" s="28">
        <v>6011</v>
      </c>
      <c r="F10" s="66" t="s">
        <v>146</v>
      </c>
      <c r="G10" s="69" t="s">
        <v>139</v>
      </c>
      <c r="H10" s="28" t="s">
        <v>22</v>
      </c>
      <c r="I10" s="28" t="s">
        <v>22</v>
      </c>
      <c r="J10" s="27">
        <v>44685</v>
      </c>
      <c r="K10" s="27">
        <v>44690</v>
      </c>
      <c r="L10" s="68">
        <v>44691</v>
      </c>
      <c r="M10" s="68">
        <v>44693</v>
      </c>
      <c r="N10" s="70"/>
      <c r="O10" s="70"/>
      <c r="P10" s="27">
        <v>44704</v>
      </c>
      <c r="Q10" s="27">
        <f>+P10</f>
        <v>44704</v>
      </c>
      <c r="R10" s="27">
        <v>44709</v>
      </c>
      <c r="S10" s="27">
        <v>44713</v>
      </c>
      <c r="T10" s="28"/>
      <c r="U10" s="27">
        <v>44722</v>
      </c>
      <c r="V10" s="27">
        <v>44728</v>
      </c>
      <c r="W10" s="28"/>
      <c r="X10" s="27">
        <v>44743</v>
      </c>
      <c r="Y10" s="27">
        <v>44806</v>
      </c>
    </row>
    <row r="11" spans="1:26" ht="32.450000000000003" customHeight="1" x14ac:dyDescent="0.25">
      <c r="A11" s="42">
        <v>2</v>
      </c>
      <c r="B11" s="74" t="s">
        <v>199</v>
      </c>
      <c r="C11" s="66" t="s">
        <v>28</v>
      </c>
      <c r="D11" s="73" t="s">
        <v>178</v>
      </c>
      <c r="E11" s="73">
        <v>2355</v>
      </c>
      <c r="F11" s="66" t="s">
        <v>23</v>
      </c>
      <c r="G11" s="134" t="s">
        <v>222</v>
      </c>
      <c r="H11" s="28" t="s">
        <v>22</v>
      </c>
      <c r="I11" s="28" t="s">
        <v>22</v>
      </c>
      <c r="J11" s="27">
        <v>44560</v>
      </c>
      <c r="K11" s="27">
        <v>44565</v>
      </c>
      <c r="L11" s="27">
        <v>44566</v>
      </c>
      <c r="M11" s="27">
        <v>44568</v>
      </c>
      <c r="N11" s="70"/>
      <c r="O11" s="70"/>
      <c r="P11" s="27">
        <v>44579</v>
      </c>
      <c r="Q11" s="27">
        <f>+P11</f>
        <v>44579</v>
      </c>
      <c r="R11" s="27">
        <v>44585</v>
      </c>
      <c r="S11" s="27">
        <v>44588</v>
      </c>
      <c r="T11" s="28"/>
      <c r="U11" s="27">
        <v>44602</v>
      </c>
      <c r="V11" s="27">
        <v>44607</v>
      </c>
      <c r="W11" s="28"/>
      <c r="X11" s="27">
        <v>44621</v>
      </c>
      <c r="Y11" s="71">
        <v>44836</v>
      </c>
    </row>
    <row r="12" spans="1:26" ht="32.450000000000003" customHeight="1" x14ac:dyDescent="0.25">
      <c r="A12" s="42">
        <v>3</v>
      </c>
      <c r="B12" s="122" t="s">
        <v>219</v>
      </c>
      <c r="C12" s="66" t="s">
        <v>28</v>
      </c>
      <c r="D12" s="131" t="s">
        <v>183</v>
      </c>
      <c r="E12" s="73">
        <v>6221</v>
      </c>
      <c r="F12" s="66" t="s">
        <v>23</v>
      </c>
      <c r="G12" s="28" t="s">
        <v>139</v>
      </c>
      <c r="H12" s="28" t="s">
        <v>22</v>
      </c>
      <c r="I12" s="28" t="s">
        <v>22</v>
      </c>
      <c r="J12" s="27">
        <v>44648</v>
      </c>
      <c r="K12" s="27">
        <v>44651</v>
      </c>
      <c r="L12" s="27">
        <v>44655</v>
      </c>
      <c r="M12" s="27">
        <v>44657</v>
      </c>
      <c r="N12" s="70"/>
      <c r="O12" s="70"/>
      <c r="P12" s="27">
        <v>44671</v>
      </c>
      <c r="Q12" s="27">
        <f>+P12</f>
        <v>44671</v>
      </c>
      <c r="R12" s="27">
        <v>44677</v>
      </c>
      <c r="S12" s="27">
        <v>44680</v>
      </c>
      <c r="T12" s="28"/>
      <c r="U12" s="27">
        <v>44693</v>
      </c>
      <c r="V12" s="27">
        <v>44698</v>
      </c>
      <c r="W12" s="28"/>
      <c r="X12" s="27">
        <v>44713</v>
      </c>
      <c r="Y12" s="27">
        <v>44805</v>
      </c>
    </row>
    <row r="13" spans="1:26" ht="32.450000000000003" customHeight="1" x14ac:dyDescent="0.25">
      <c r="A13" s="42">
        <v>4</v>
      </c>
      <c r="B13" s="122" t="s">
        <v>211</v>
      </c>
      <c r="C13" s="66" t="s">
        <v>28</v>
      </c>
      <c r="D13" s="131" t="s">
        <v>216</v>
      </c>
      <c r="E13" s="73">
        <v>2119</v>
      </c>
      <c r="F13" s="66" t="s">
        <v>23</v>
      </c>
      <c r="G13" s="28" t="s">
        <v>139</v>
      </c>
      <c r="H13" s="28" t="s">
        <v>22</v>
      </c>
      <c r="I13" s="28" t="s">
        <v>22</v>
      </c>
      <c r="J13" s="27">
        <v>44648</v>
      </c>
      <c r="K13" s="27">
        <v>44651</v>
      </c>
      <c r="L13" s="27">
        <v>44655</v>
      </c>
      <c r="M13" s="27">
        <v>44657</v>
      </c>
      <c r="N13" s="70"/>
      <c r="O13" s="70"/>
      <c r="P13" s="27">
        <v>44671</v>
      </c>
      <c r="Q13" s="27">
        <f>+P13</f>
        <v>44671</v>
      </c>
      <c r="R13" s="27">
        <v>44677</v>
      </c>
      <c r="S13" s="27">
        <v>44680</v>
      </c>
      <c r="T13" s="28"/>
      <c r="U13" s="27">
        <v>44693</v>
      </c>
      <c r="V13" s="27">
        <v>44698</v>
      </c>
      <c r="W13" s="28"/>
      <c r="X13" s="27">
        <v>44713</v>
      </c>
      <c r="Y13" s="27">
        <v>44743</v>
      </c>
    </row>
    <row r="14" spans="1:26" ht="32.450000000000003" customHeight="1" x14ac:dyDescent="0.25">
      <c r="A14" s="42">
        <v>5</v>
      </c>
      <c r="B14" s="128" t="s">
        <v>215</v>
      </c>
      <c r="C14" s="66" t="s">
        <v>28</v>
      </c>
      <c r="D14" s="73" t="s">
        <v>183</v>
      </c>
      <c r="E14" s="73">
        <v>6143</v>
      </c>
      <c r="F14" s="66" t="s">
        <v>23</v>
      </c>
      <c r="G14" s="129" t="s">
        <v>139</v>
      </c>
      <c r="H14" s="28" t="s">
        <v>22</v>
      </c>
      <c r="I14" s="28" t="s">
        <v>22</v>
      </c>
      <c r="J14" s="130">
        <v>44648</v>
      </c>
      <c r="K14" s="27">
        <v>44651</v>
      </c>
      <c r="L14" s="27">
        <v>44655</v>
      </c>
      <c r="M14" s="27">
        <v>44657</v>
      </c>
      <c r="N14" s="70"/>
      <c r="O14" s="70"/>
      <c r="P14" s="27">
        <v>44671</v>
      </c>
      <c r="Q14" s="27">
        <v>44671</v>
      </c>
      <c r="R14" s="27">
        <v>44677</v>
      </c>
      <c r="S14" s="27">
        <v>44680</v>
      </c>
      <c r="T14" s="28"/>
      <c r="U14" s="27">
        <v>44693</v>
      </c>
      <c r="V14" s="27">
        <v>44698</v>
      </c>
      <c r="W14" s="28"/>
      <c r="X14" s="27">
        <v>44713</v>
      </c>
      <c r="Y14" s="27">
        <v>44743</v>
      </c>
    </row>
    <row r="15" spans="1:26" ht="32.450000000000003" customHeight="1" x14ac:dyDescent="0.25">
      <c r="A15" s="42">
        <v>6</v>
      </c>
      <c r="B15" s="128" t="s">
        <v>220</v>
      </c>
      <c r="C15" s="66" t="s">
        <v>28</v>
      </c>
      <c r="D15" s="133" t="s">
        <v>221</v>
      </c>
      <c r="E15" s="73">
        <v>6012</v>
      </c>
      <c r="F15" s="132" t="s">
        <v>146</v>
      </c>
      <c r="G15" s="28" t="s">
        <v>139</v>
      </c>
      <c r="H15" s="28" t="s">
        <v>22</v>
      </c>
      <c r="I15" s="28" t="s">
        <v>22</v>
      </c>
      <c r="J15" s="130">
        <v>44648</v>
      </c>
      <c r="K15" s="27">
        <v>44651</v>
      </c>
      <c r="L15" s="27">
        <v>44655</v>
      </c>
      <c r="M15" s="27">
        <v>44657</v>
      </c>
      <c r="N15" s="70"/>
      <c r="O15" s="70"/>
      <c r="P15" s="27">
        <v>44671</v>
      </c>
      <c r="Q15" s="27">
        <v>44671</v>
      </c>
      <c r="R15" s="27">
        <v>44677</v>
      </c>
      <c r="S15" s="27">
        <v>44680</v>
      </c>
      <c r="T15" s="28"/>
      <c r="U15" s="27">
        <v>44693</v>
      </c>
      <c r="V15" s="27">
        <v>44698</v>
      </c>
      <c r="W15" s="28"/>
      <c r="X15" s="27">
        <v>44713</v>
      </c>
      <c r="Y15" s="27">
        <v>44743</v>
      </c>
    </row>
    <row r="16" spans="1:26" ht="18.75" customHeight="1" x14ac:dyDescent="0.25">
      <c r="A16" s="67"/>
      <c r="B16" s="192" t="s">
        <v>223</v>
      </c>
      <c r="C16" s="193"/>
      <c r="D16" s="193"/>
      <c r="E16" s="193"/>
      <c r="F16" s="193"/>
      <c r="G16" s="193"/>
      <c r="H16" s="193"/>
      <c r="I16" s="193"/>
      <c r="J16" s="193"/>
      <c r="K16" s="193"/>
      <c r="L16" s="193"/>
      <c r="M16" s="193"/>
      <c r="N16" s="193"/>
      <c r="O16" s="193"/>
      <c r="P16" s="193"/>
      <c r="Q16" s="193"/>
      <c r="R16" s="193"/>
      <c r="S16" s="193"/>
      <c r="T16" s="193"/>
      <c r="U16" s="193"/>
      <c r="V16" s="193"/>
      <c r="W16" s="193"/>
      <c r="X16" s="193"/>
      <c r="Y16" s="194"/>
    </row>
    <row r="17" spans="1:25" ht="18.75" customHeight="1"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row>
    <row r="18" spans="1:25" ht="18.75" customHeight="1"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row>
    <row r="19" spans="1:25" x14ac:dyDescent="0.25">
      <c r="A19" s="29" t="s">
        <v>62</v>
      </c>
      <c r="B19" s="30"/>
      <c r="C19" s="30"/>
      <c r="D19" s="30"/>
      <c r="E19" s="30"/>
      <c r="F19" s="30"/>
      <c r="G19" s="30"/>
      <c r="H19" s="30"/>
      <c r="I19" s="31"/>
      <c r="J19" s="30"/>
      <c r="K19" s="30"/>
      <c r="L19" s="30"/>
      <c r="M19" s="30"/>
      <c r="N19" s="30"/>
      <c r="O19" s="30"/>
      <c r="P19" s="30"/>
      <c r="Q19" s="30"/>
      <c r="R19" s="30"/>
      <c r="S19" s="30"/>
      <c r="T19" s="30"/>
    </row>
    <row r="20" spans="1:25" x14ac:dyDescent="0.25">
      <c r="A20" s="261" t="s">
        <v>100</v>
      </c>
      <c r="B20" s="261"/>
      <c r="C20" s="261"/>
      <c r="D20" s="261"/>
      <c r="E20" s="261"/>
      <c r="F20" s="261"/>
      <c r="G20" s="261"/>
      <c r="H20" s="261"/>
      <c r="I20" s="261"/>
      <c r="J20" s="261"/>
      <c r="K20" s="261"/>
      <c r="L20" s="261"/>
      <c r="M20" s="261"/>
      <c r="N20" s="261"/>
      <c r="O20" s="261"/>
      <c r="P20" s="261"/>
      <c r="Q20" s="261"/>
      <c r="R20" s="261"/>
      <c r="S20" s="261"/>
      <c r="T20" s="261"/>
    </row>
    <row r="21" spans="1:25" x14ac:dyDescent="0.25">
      <c r="A21" s="261" t="s">
        <v>64</v>
      </c>
      <c r="B21" s="261"/>
      <c r="C21" s="261"/>
      <c r="D21" s="261"/>
      <c r="E21" s="261"/>
      <c r="F21" s="261"/>
      <c r="G21" s="261"/>
      <c r="H21" s="261"/>
      <c r="I21" s="261"/>
      <c r="J21" s="261"/>
      <c r="K21" s="261"/>
      <c r="L21" s="261"/>
      <c r="M21" s="261"/>
      <c r="N21" s="261"/>
      <c r="O21" s="261"/>
      <c r="P21" s="261"/>
      <c r="Q21" s="261"/>
      <c r="R21" s="261"/>
      <c r="S21" s="261"/>
      <c r="T21" s="261"/>
    </row>
    <row r="22" spans="1:25" x14ac:dyDescent="0.25">
      <c r="A22" s="261" t="s">
        <v>65</v>
      </c>
      <c r="B22" s="261"/>
      <c r="C22" s="261"/>
      <c r="D22" s="261"/>
      <c r="E22" s="261"/>
      <c r="F22" s="261"/>
      <c r="G22" s="261"/>
      <c r="H22" s="261"/>
      <c r="I22" s="261"/>
      <c r="J22" s="261"/>
      <c r="K22" s="261"/>
      <c r="L22" s="261"/>
      <c r="M22" s="261"/>
      <c r="N22" s="261"/>
      <c r="O22" s="261"/>
      <c r="P22" s="261"/>
      <c r="Q22" s="261"/>
      <c r="R22" s="261"/>
      <c r="S22" s="261"/>
      <c r="T22" s="261"/>
    </row>
    <row r="23" spans="1:25" x14ac:dyDescent="0.25">
      <c r="A23" s="212" t="s">
        <v>101</v>
      </c>
      <c r="B23" s="212"/>
      <c r="C23" s="212"/>
      <c r="D23" s="212"/>
      <c r="E23" s="212"/>
      <c r="F23" s="212"/>
      <c r="G23" s="212"/>
      <c r="H23" s="212"/>
      <c r="I23" s="212"/>
      <c r="J23" s="212"/>
      <c r="K23" s="212"/>
      <c r="L23" s="212"/>
      <c r="M23" s="212"/>
      <c r="N23" s="212"/>
      <c r="O23" s="212"/>
      <c r="P23" s="212"/>
      <c r="Q23" s="212"/>
      <c r="R23" s="212"/>
      <c r="S23" s="212"/>
      <c r="T23" s="30"/>
    </row>
    <row r="24" spans="1:25" x14ac:dyDescent="0.25">
      <c r="A24" s="261" t="s">
        <v>102</v>
      </c>
      <c r="B24" s="261"/>
      <c r="C24" s="261"/>
      <c r="D24" s="261"/>
      <c r="E24" s="261"/>
      <c r="F24" s="261"/>
      <c r="G24" s="261"/>
      <c r="H24" s="261"/>
      <c r="I24" s="261"/>
      <c r="J24" s="261"/>
      <c r="K24" s="261"/>
      <c r="L24" s="261"/>
      <c r="M24" s="261"/>
      <c r="N24" s="261"/>
      <c r="O24" s="261"/>
      <c r="P24" s="261"/>
      <c r="Q24" s="261"/>
      <c r="R24" s="261"/>
      <c r="S24" s="261"/>
      <c r="T24" s="261"/>
    </row>
    <row r="25" spans="1:25" x14ac:dyDescent="0.25">
      <c r="A25" s="261" t="s">
        <v>103</v>
      </c>
      <c r="B25" s="261"/>
      <c r="C25" s="261"/>
      <c r="D25" s="261"/>
      <c r="E25" s="261"/>
      <c r="F25" s="261"/>
      <c r="G25" s="261"/>
      <c r="H25" s="261"/>
      <c r="I25" s="261"/>
      <c r="J25" s="261"/>
      <c r="K25" s="261"/>
      <c r="L25" s="261"/>
      <c r="M25" s="261"/>
      <c r="N25" s="261"/>
      <c r="O25" s="261"/>
      <c r="P25" s="261"/>
      <c r="Q25" s="261"/>
      <c r="R25" s="261"/>
      <c r="S25" s="261"/>
      <c r="T25" s="261"/>
    </row>
    <row r="26" spans="1:25" x14ac:dyDescent="0.25">
      <c r="A26" s="261" t="s">
        <v>104</v>
      </c>
      <c r="B26" s="261"/>
      <c r="C26" s="261"/>
      <c r="D26" s="261"/>
      <c r="E26" s="261"/>
      <c r="F26" s="261"/>
      <c r="G26" s="261"/>
      <c r="H26" s="261"/>
      <c r="I26" s="261"/>
      <c r="J26" s="261"/>
      <c r="K26" s="261"/>
      <c r="L26" s="261"/>
      <c r="M26" s="261"/>
      <c r="N26" s="261"/>
      <c r="O26" s="261"/>
      <c r="P26" s="261"/>
      <c r="Q26" s="261"/>
      <c r="R26" s="261"/>
      <c r="S26" s="261"/>
      <c r="T26" s="261"/>
    </row>
    <row r="27" spans="1:25" x14ac:dyDescent="0.25">
      <c r="A27" s="261" t="s">
        <v>105</v>
      </c>
      <c r="B27" s="261"/>
      <c r="C27" s="261"/>
      <c r="D27" s="261"/>
      <c r="E27" s="261"/>
      <c r="F27" s="261"/>
      <c r="G27" s="261"/>
      <c r="H27" s="261"/>
      <c r="I27" s="261"/>
      <c r="J27" s="261"/>
      <c r="K27" s="261"/>
      <c r="L27" s="261"/>
      <c r="M27" s="261"/>
      <c r="N27" s="261"/>
      <c r="O27" s="261"/>
      <c r="P27" s="261"/>
      <c r="Q27" s="261"/>
      <c r="R27" s="261"/>
      <c r="S27" s="261"/>
      <c r="T27" s="34"/>
    </row>
    <row r="28" spans="1:25" x14ac:dyDescent="0.25">
      <c r="A28" s="261" t="s">
        <v>106</v>
      </c>
      <c r="B28" s="261"/>
      <c r="C28" s="261"/>
      <c r="D28" s="261"/>
      <c r="E28" s="261"/>
      <c r="F28" s="261"/>
      <c r="G28" s="261"/>
      <c r="H28" s="261"/>
      <c r="I28" s="261"/>
      <c r="J28" s="261"/>
      <c r="K28" s="261"/>
      <c r="L28" s="261"/>
      <c r="M28" s="261"/>
      <c r="N28" s="261"/>
      <c r="O28" s="261"/>
      <c r="P28" s="261"/>
      <c r="Q28" s="261"/>
      <c r="R28" s="261"/>
      <c r="S28" s="261"/>
      <c r="T28" s="30"/>
    </row>
    <row r="30" spans="1:25" customFormat="1" ht="25.5" customHeight="1" x14ac:dyDescent="0.25">
      <c r="A30" s="306" t="s">
        <v>107</v>
      </c>
      <c r="B30" s="306"/>
      <c r="C30" s="306"/>
      <c r="D30" s="306"/>
      <c r="E30" s="306"/>
      <c r="F30" s="306"/>
      <c r="G30" s="306"/>
      <c r="H30" s="306"/>
      <c r="I30" s="306"/>
      <c r="J30" s="306"/>
      <c r="K30" s="306"/>
      <c r="L30" s="20"/>
      <c r="M30" s="20"/>
      <c r="N30" s="20"/>
      <c r="O30" s="20"/>
      <c r="P30" s="20"/>
      <c r="Q30" s="20"/>
      <c r="R30" s="20"/>
      <c r="S30" s="20"/>
      <c r="T30" s="20"/>
      <c r="U30" s="20"/>
      <c r="V30" s="20"/>
      <c r="W30" s="20"/>
      <c r="X30" s="20"/>
      <c r="Y30" s="20"/>
    </row>
    <row r="31" spans="1:25" customFormat="1" ht="18" x14ac:dyDescent="0.25">
      <c r="A31" s="43"/>
      <c r="B31" s="20"/>
      <c r="C31" s="20"/>
      <c r="D31" s="20"/>
      <c r="E31" s="20"/>
      <c r="F31" s="20"/>
      <c r="G31" s="20"/>
      <c r="H31" s="20"/>
      <c r="I31" s="20"/>
      <c r="J31" s="20"/>
      <c r="K31" s="20"/>
      <c r="L31" s="20"/>
      <c r="M31" s="20"/>
      <c r="N31" s="20"/>
      <c r="O31" s="20"/>
      <c r="P31" s="20"/>
      <c r="Q31" s="20"/>
      <c r="R31" s="20"/>
      <c r="S31" s="20"/>
      <c r="T31" s="20"/>
      <c r="U31" s="20"/>
      <c r="V31" s="20"/>
      <c r="W31" s="20"/>
      <c r="X31" s="20"/>
      <c r="Y31" s="20"/>
    </row>
    <row r="32" spans="1:25" customFormat="1" ht="30.75" customHeight="1" x14ac:dyDescent="0.25">
      <c r="A32" s="304" t="s">
        <v>1</v>
      </c>
      <c r="B32" s="304" t="s">
        <v>37</v>
      </c>
      <c r="C32" s="304" t="s">
        <v>38</v>
      </c>
      <c r="D32" s="308" t="s">
        <v>144</v>
      </c>
      <c r="E32" s="304" t="s">
        <v>39</v>
      </c>
      <c r="F32" s="314" t="s">
        <v>108</v>
      </c>
      <c r="G32" s="304" t="s">
        <v>109</v>
      </c>
      <c r="H32" s="308" t="s">
        <v>110</v>
      </c>
      <c r="I32" s="308" t="s">
        <v>111</v>
      </c>
      <c r="J32" s="308" t="s">
        <v>112</v>
      </c>
      <c r="K32" s="308" t="s">
        <v>113</v>
      </c>
      <c r="L32" s="244" t="s">
        <v>114</v>
      </c>
      <c r="M32" s="313"/>
      <c r="N32" s="244" t="s">
        <v>115</v>
      </c>
      <c r="O32" s="313"/>
      <c r="P32" s="309"/>
      <c r="Q32" s="309"/>
      <c r="R32" s="44"/>
    </row>
    <row r="33" spans="1:28" customFormat="1" ht="60" customHeight="1" x14ac:dyDescent="0.25">
      <c r="A33" s="304"/>
      <c r="B33" s="304"/>
      <c r="C33" s="304"/>
      <c r="D33" s="205"/>
      <c r="E33" s="304"/>
      <c r="F33" s="314"/>
      <c r="G33" s="304"/>
      <c r="H33" s="205"/>
      <c r="I33" s="205"/>
      <c r="J33" s="205"/>
      <c r="K33" s="205"/>
      <c r="L33" s="78" t="s">
        <v>116</v>
      </c>
      <c r="M33" s="78" t="s">
        <v>99</v>
      </c>
      <c r="N33" s="77" t="s">
        <v>60</v>
      </c>
      <c r="O33" s="77" t="s">
        <v>61</v>
      </c>
      <c r="P33" s="45"/>
      <c r="Q33" s="45"/>
    </row>
    <row r="34" spans="1:28" customFormat="1" ht="33.6" customHeight="1" x14ac:dyDescent="0.25">
      <c r="A34" s="42">
        <v>1</v>
      </c>
      <c r="B34" s="49" t="s">
        <v>176</v>
      </c>
      <c r="C34" s="66" t="s">
        <v>28</v>
      </c>
      <c r="D34" s="73" t="s">
        <v>177</v>
      </c>
      <c r="E34" s="73">
        <v>6149</v>
      </c>
      <c r="F34" s="28" t="s">
        <v>22</v>
      </c>
      <c r="G34" s="28" t="s">
        <v>22</v>
      </c>
      <c r="H34" s="28" t="s">
        <v>179</v>
      </c>
      <c r="I34" s="27">
        <v>44550</v>
      </c>
      <c r="J34" s="27">
        <v>44559</v>
      </c>
      <c r="K34" s="27">
        <f>+J34</f>
        <v>44559</v>
      </c>
      <c r="L34" s="27">
        <f>J34</f>
        <v>44559</v>
      </c>
      <c r="M34" s="27">
        <f>+J34</f>
        <v>44559</v>
      </c>
      <c r="N34" s="27">
        <v>44562</v>
      </c>
      <c r="O34" s="27">
        <v>44926</v>
      </c>
      <c r="T34" s="20"/>
      <c r="U34" s="20"/>
      <c r="V34" s="20"/>
      <c r="W34" s="20"/>
      <c r="X34" s="20"/>
      <c r="Y34" s="20"/>
    </row>
    <row r="35" spans="1:28" customFormat="1" ht="36.75" customHeight="1" x14ac:dyDescent="0.25">
      <c r="A35" s="42">
        <v>2</v>
      </c>
      <c r="B35" s="49" t="s">
        <v>175</v>
      </c>
      <c r="C35" s="66" t="s">
        <v>28</v>
      </c>
      <c r="D35" s="73" t="s">
        <v>177</v>
      </c>
      <c r="E35" s="73">
        <v>6225</v>
      </c>
      <c r="F35" s="28" t="s">
        <v>22</v>
      </c>
      <c r="G35" s="28" t="s">
        <v>22</v>
      </c>
      <c r="H35" s="28" t="s">
        <v>179</v>
      </c>
      <c r="I35" s="27">
        <v>44550</v>
      </c>
      <c r="J35" s="27">
        <v>44559</v>
      </c>
      <c r="K35" s="27">
        <f t="shared" ref="K35:K36" si="0">+J35</f>
        <v>44559</v>
      </c>
      <c r="L35" s="27">
        <f t="shared" ref="L35:L36" si="1">J35</f>
        <v>44559</v>
      </c>
      <c r="M35" s="27">
        <f t="shared" ref="M35:M36" si="2">+J35</f>
        <v>44559</v>
      </c>
      <c r="N35" s="27">
        <v>44562</v>
      </c>
      <c r="O35" s="27">
        <v>44926</v>
      </c>
      <c r="P35" s="20"/>
      <c r="Q35" s="20"/>
      <c r="R35" s="20"/>
      <c r="S35" s="20"/>
      <c r="T35" s="20"/>
      <c r="U35" s="20"/>
      <c r="V35" s="20"/>
      <c r="W35" s="20"/>
      <c r="X35" s="20"/>
      <c r="Y35" s="20"/>
    </row>
    <row r="36" spans="1:28" customFormat="1" ht="36.75" customHeight="1" x14ac:dyDescent="0.25">
      <c r="A36" s="42">
        <v>3</v>
      </c>
      <c r="B36" s="49" t="s">
        <v>174</v>
      </c>
      <c r="C36" s="66" t="s">
        <v>28</v>
      </c>
      <c r="D36" s="73" t="s">
        <v>177</v>
      </c>
      <c r="E36" s="73">
        <v>6141</v>
      </c>
      <c r="F36" s="28" t="s">
        <v>22</v>
      </c>
      <c r="G36" s="28" t="s">
        <v>22</v>
      </c>
      <c r="H36" s="28" t="s">
        <v>179</v>
      </c>
      <c r="I36" s="27">
        <v>44550</v>
      </c>
      <c r="J36" s="27">
        <v>44559</v>
      </c>
      <c r="K36" s="27">
        <f t="shared" si="0"/>
        <v>44559</v>
      </c>
      <c r="L36" s="27">
        <f t="shared" si="1"/>
        <v>44559</v>
      </c>
      <c r="M36" s="27">
        <f t="shared" si="2"/>
        <v>44559</v>
      </c>
      <c r="N36" s="27">
        <v>44562</v>
      </c>
      <c r="O36" s="27">
        <v>44926</v>
      </c>
      <c r="P36" s="20"/>
      <c r="Q36" s="20"/>
      <c r="R36" s="20"/>
      <c r="S36" s="20"/>
      <c r="T36" s="20"/>
      <c r="U36" s="20"/>
      <c r="V36" s="20"/>
      <c r="W36" s="20"/>
      <c r="X36" s="20"/>
      <c r="Y36" s="20"/>
    </row>
    <row r="37" spans="1:28" customFormat="1" ht="36.75" customHeight="1" x14ac:dyDescent="0.25">
      <c r="A37" s="42">
        <v>4</v>
      </c>
      <c r="B37" s="121" t="s">
        <v>202</v>
      </c>
      <c r="C37" s="66" t="s">
        <v>28</v>
      </c>
      <c r="D37" s="73" t="s">
        <v>204</v>
      </c>
      <c r="E37" s="73">
        <v>2413</v>
      </c>
      <c r="F37" s="28" t="s">
        <v>22</v>
      </c>
      <c r="G37" s="28" t="s">
        <v>22</v>
      </c>
      <c r="H37" s="28" t="s">
        <v>179</v>
      </c>
      <c r="I37" s="27">
        <v>44635</v>
      </c>
      <c r="J37" s="27">
        <v>44650</v>
      </c>
      <c r="K37" s="27">
        <f t="shared" ref="K37:K42" si="3">+J37</f>
        <v>44650</v>
      </c>
      <c r="L37" s="27">
        <f t="shared" ref="L37:L42" si="4">+J37</f>
        <v>44650</v>
      </c>
      <c r="M37" s="27">
        <f t="shared" ref="M37:M42" si="5">+J37</f>
        <v>44650</v>
      </c>
      <c r="N37" s="27">
        <v>44807</v>
      </c>
      <c r="O37" s="27">
        <v>44869</v>
      </c>
      <c r="P37" s="20"/>
      <c r="Q37" s="20"/>
      <c r="R37" s="20"/>
      <c r="S37" s="20"/>
      <c r="T37" s="20"/>
      <c r="U37" s="20"/>
      <c r="V37" s="20"/>
      <c r="W37" s="20"/>
      <c r="X37" s="20"/>
      <c r="Y37" s="20"/>
    </row>
    <row r="38" spans="1:28" customFormat="1" ht="42" customHeight="1" x14ac:dyDescent="0.25">
      <c r="A38" s="42">
        <v>5</v>
      </c>
      <c r="B38" s="49" t="s">
        <v>167</v>
      </c>
      <c r="C38" s="28" t="s">
        <v>30</v>
      </c>
      <c r="D38" s="73" t="s">
        <v>178</v>
      </c>
      <c r="E38" s="73">
        <v>2432</v>
      </c>
      <c r="F38" s="28" t="s">
        <v>22</v>
      </c>
      <c r="G38" s="28" t="s">
        <v>22</v>
      </c>
      <c r="H38" s="28" t="s">
        <v>179</v>
      </c>
      <c r="I38" s="27">
        <v>44635</v>
      </c>
      <c r="J38" s="27">
        <v>44650</v>
      </c>
      <c r="K38" s="27">
        <f t="shared" si="3"/>
        <v>44650</v>
      </c>
      <c r="L38" s="27">
        <f t="shared" si="4"/>
        <v>44650</v>
      </c>
      <c r="M38" s="27">
        <f t="shared" si="5"/>
        <v>44650</v>
      </c>
      <c r="N38" s="27">
        <v>44807</v>
      </c>
      <c r="O38" s="27">
        <v>44869</v>
      </c>
      <c r="P38" s="20"/>
      <c r="Q38" s="20"/>
      <c r="R38" s="20"/>
      <c r="S38" s="20"/>
      <c r="T38" s="20"/>
      <c r="U38" s="20"/>
      <c r="V38" s="20"/>
      <c r="W38" s="20"/>
      <c r="X38" s="20"/>
      <c r="Y38" s="20"/>
    </row>
    <row r="39" spans="1:28" customFormat="1" ht="36.75" customHeight="1" x14ac:dyDescent="0.25">
      <c r="A39" s="42">
        <v>6</v>
      </c>
      <c r="B39" s="49" t="s">
        <v>168</v>
      </c>
      <c r="C39" s="28" t="s">
        <v>30</v>
      </c>
      <c r="D39" s="73" t="s">
        <v>178</v>
      </c>
      <c r="E39" s="73">
        <v>2421</v>
      </c>
      <c r="F39" s="28" t="s">
        <v>22</v>
      </c>
      <c r="G39" s="28" t="s">
        <v>22</v>
      </c>
      <c r="H39" s="28" t="s">
        <v>179</v>
      </c>
      <c r="I39" s="27">
        <v>44635</v>
      </c>
      <c r="J39" s="27">
        <v>44650</v>
      </c>
      <c r="K39" s="27">
        <f t="shared" si="3"/>
        <v>44650</v>
      </c>
      <c r="L39" s="27">
        <f t="shared" si="4"/>
        <v>44650</v>
      </c>
      <c r="M39" s="27">
        <f t="shared" si="5"/>
        <v>44650</v>
      </c>
      <c r="N39" s="27">
        <v>44709</v>
      </c>
      <c r="O39" s="27">
        <v>44802</v>
      </c>
      <c r="P39" s="20"/>
      <c r="Q39" s="20"/>
      <c r="R39" s="20"/>
      <c r="S39" s="20"/>
      <c r="T39" s="20"/>
      <c r="U39" s="20"/>
      <c r="V39" s="20"/>
      <c r="W39" s="20"/>
      <c r="X39" s="20"/>
      <c r="Y39" s="20"/>
    </row>
    <row r="40" spans="1:28" customFormat="1" ht="36.75" customHeight="1" x14ac:dyDescent="0.25">
      <c r="A40" s="42">
        <v>7</v>
      </c>
      <c r="B40" s="49" t="s">
        <v>166</v>
      </c>
      <c r="C40" s="28" t="s">
        <v>30</v>
      </c>
      <c r="D40" s="73" t="s">
        <v>178</v>
      </c>
      <c r="E40" s="73">
        <v>2413</v>
      </c>
      <c r="F40" s="28" t="s">
        <v>22</v>
      </c>
      <c r="G40" s="28" t="s">
        <v>22</v>
      </c>
      <c r="H40" s="28" t="s">
        <v>179</v>
      </c>
      <c r="I40" s="27">
        <v>44635</v>
      </c>
      <c r="J40" s="27">
        <v>44650</v>
      </c>
      <c r="K40" s="27">
        <f t="shared" si="3"/>
        <v>44650</v>
      </c>
      <c r="L40" s="27">
        <f t="shared" si="4"/>
        <v>44650</v>
      </c>
      <c r="M40" s="27">
        <f t="shared" si="5"/>
        <v>44650</v>
      </c>
      <c r="N40" s="27">
        <v>44709</v>
      </c>
      <c r="O40" s="27">
        <v>44802</v>
      </c>
      <c r="P40" s="20"/>
      <c r="Q40" s="20"/>
      <c r="R40" s="20"/>
      <c r="S40" s="20"/>
      <c r="T40" s="20"/>
      <c r="U40" s="20"/>
      <c r="V40" s="20"/>
      <c r="W40" s="20"/>
      <c r="X40" s="20"/>
      <c r="Y40" s="20"/>
    </row>
    <row r="41" spans="1:28" customFormat="1" ht="40.9" customHeight="1" x14ac:dyDescent="0.25">
      <c r="A41" s="42">
        <v>8</v>
      </c>
      <c r="B41" s="49" t="s">
        <v>169</v>
      </c>
      <c r="C41" s="28" t="s">
        <v>30</v>
      </c>
      <c r="D41" s="73" t="s">
        <v>178</v>
      </c>
      <c r="E41" s="73">
        <v>6141</v>
      </c>
      <c r="F41" s="28" t="s">
        <v>22</v>
      </c>
      <c r="G41" s="28" t="s">
        <v>22</v>
      </c>
      <c r="H41" s="28" t="s">
        <v>179</v>
      </c>
      <c r="I41" s="27">
        <v>44635</v>
      </c>
      <c r="J41" s="27">
        <v>44650</v>
      </c>
      <c r="K41" s="27">
        <f t="shared" si="3"/>
        <v>44650</v>
      </c>
      <c r="L41" s="27">
        <f t="shared" si="4"/>
        <v>44650</v>
      </c>
      <c r="M41" s="27">
        <f t="shared" si="5"/>
        <v>44650</v>
      </c>
      <c r="N41" s="27">
        <v>44713</v>
      </c>
      <c r="O41" s="27">
        <v>44775</v>
      </c>
      <c r="P41" s="20"/>
      <c r="Q41" s="20"/>
      <c r="R41" s="20"/>
      <c r="S41" s="20"/>
      <c r="T41" s="20"/>
      <c r="U41" s="20"/>
      <c r="V41" s="20"/>
      <c r="W41" s="20"/>
      <c r="X41" s="20"/>
      <c r="Y41" s="20"/>
    </row>
    <row r="42" spans="1:28" customFormat="1" ht="40.9" customHeight="1" x14ac:dyDescent="0.25">
      <c r="A42" s="42">
        <v>9</v>
      </c>
      <c r="B42" s="108" t="s">
        <v>200</v>
      </c>
      <c r="C42" s="28" t="s">
        <v>30</v>
      </c>
      <c r="D42" s="109" t="s">
        <v>177</v>
      </c>
      <c r="E42" s="73"/>
      <c r="F42" s="28" t="s">
        <v>22</v>
      </c>
      <c r="G42" s="28" t="s">
        <v>22</v>
      </c>
      <c r="H42" s="28" t="s">
        <v>179</v>
      </c>
      <c r="I42" s="27">
        <v>44635</v>
      </c>
      <c r="J42" s="27">
        <v>44650</v>
      </c>
      <c r="K42" s="27">
        <f t="shared" si="3"/>
        <v>44650</v>
      </c>
      <c r="L42" s="27">
        <f t="shared" si="4"/>
        <v>44650</v>
      </c>
      <c r="M42" s="27">
        <f t="shared" si="5"/>
        <v>44650</v>
      </c>
      <c r="N42" s="27">
        <v>44713</v>
      </c>
      <c r="O42" s="27">
        <v>44775</v>
      </c>
      <c r="P42" s="20"/>
      <c r="Q42" s="20"/>
      <c r="R42" s="20"/>
      <c r="S42" s="20"/>
      <c r="T42" s="20"/>
      <c r="U42" s="20"/>
      <c r="V42" s="20"/>
      <c r="W42" s="20"/>
      <c r="X42" s="20"/>
      <c r="Y42" s="20"/>
    </row>
    <row r="43" spans="1:28" customFormat="1" ht="29.25" customHeight="1" x14ac:dyDescent="0.25">
      <c r="A43" s="42"/>
      <c r="B43" s="310" t="s">
        <v>203</v>
      </c>
      <c r="C43" s="311"/>
      <c r="D43" s="311"/>
      <c r="E43" s="311"/>
      <c r="F43" s="311"/>
      <c r="G43" s="311"/>
      <c r="H43" s="311"/>
      <c r="I43" s="311"/>
      <c r="J43" s="311"/>
      <c r="K43" s="311"/>
      <c r="L43" s="311"/>
      <c r="M43" s="311"/>
      <c r="N43" s="311"/>
      <c r="O43" s="312"/>
      <c r="P43" s="20"/>
      <c r="Q43" s="20"/>
      <c r="R43" s="20"/>
      <c r="S43" s="20"/>
      <c r="T43" s="20"/>
      <c r="U43" s="20"/>
      <c r="V43" s="20"/>
      <c r="W43" s="20"/>
      <c r="X43" s="20"/>
      <c r="Y43" s="20"/>
    </row>
    <row r="44" spans="1:28" customFormat="1" ht="18" x14ac:dyDescent="0.25">
      <c r="A44" s="43"/>
      <c r="B44" s="20"/>
      <c r="C44" s="20"/>
      <c r="D44" s="20"/>
      <c r="E44" s="20"/>
      <c r="F44" s="20"/>
      <c r="G44" s="20"/>
      <c r="H44" s="20"/>
      <c r="I44" s="20"/>
      <c r="J44" s="20"/>
      <c r="K44" s="20"/>
      <c r="L44" s="20"/>
      <c r="M44" s="20"/>
      <c r="N44" s="20"/>
      <c r="O44" s="20"/>
      <c r="P44" s="20"/>
      <c r="Q44" s="20"/>
      <c r="R44" s="20"/>
      <c r="S44" s="20"/>
      <c r="T44" s="20"/>
      <c r="U44" s="20"/>
      <c r="V44" s="20"/>
      <c r="W44" s="20"/>
      <c r="X44" s="20"/>
      <c r="Y44" s="20"/>
    </row>
    <row r="45" spans="1:28" x14ac:dyDescent="0.25">
      <c r="A45" s="29" t="s">
        <v>62</v>
      </c>
      <c r="B45" s="30"/>
      <c r="C45" s="30"/>
      <c r="D45" s="30"/>
      <c r="E45" s="30"/>
      <c r="F45" s="30"/>
      <c r="G45" s="30"/>
      <c r="H45" s="30"/>
      <c r="I45" s="30"/>
      <c r="J45" s="31"/>
      <c r="K45" s="30"/>
      <c r="L45" s="30"/>
      <c r="M45" s="30"/>
      <c r="N45" s="30"/>
      <c r="O45" s="30"/>
      <c r="P45" s="30"/>
      <c r="Q45" s="30"/>
      <c r="R45" s="30"/>
      <c r="S45" s="30"/>
      <c r="T45" s="30"/>
      <c r="U45" s="30"/>
      <c r="V45" s="30"/>
      <c r="W45" s="30"/>
      <c r="X45" s="23"/>
      <c r="Y45" s="23"/>
      <c r="Z45" s="23"/>
      <c r="AA45" s="23"/>
      <c r="AB45" s="23"/>
    </row>
    <row r="46" spans="1:28" x14ac:dyDescent="0.25">
      <c r="A46" s="34" t="s">
        <v>100</v>
      </c>
      <c r="B46" s="34"/>
      <c r="C46" s="34"/>
      <c r="D46" s="34"/>
      <c r="E46" s="34"/>
      <c r="F46" s="34"/>
      <c r="G46" s="34"/>
      <c r="H46" s="34"/>
      <c r="I46" s="34"/>
      <c r="J46" s="34"/>
      <c r="K46" s="34"/>
      <c r="L46" s="34"/>
      <c r="M46" s="34"/>
      <c r="N46" s="34"/>
      <c r="O46" s="34"/>
      <c r="P46" s="34"/>
      <c r="Q46" s="34"/>
      <c r="R46" s="34"/>
      <c r="S46" s="34"/>
      <c r="T46" s="34"/>
      <c r="U46" s="34"/>
      <c r="V46" s="34"/>
      <c r="W46" s="34"/>
    </row>
    <row r="47" spans="1:28" x14ac:dyDescent="0.25">
      <c r="A47" s="34" t="s">
        <v>64</v>
      </c>
      <c r="B47" s="34"/>
      <c r="C47" s="34"/>
      <c r="D47" s="34"/>
      <c r="E47" s="34"/>
      <c r="F47" s="34"/>
      <c r="G47" s="34"/>
      <c r="H47" s="34"/>
      <c r="I47" s="34"/>
      <c r="J47" s="34"/>
      <c r="K47" s="34"/>
      <c r="L47" s="34"/>
      <c r="M47" s="34"/>
      <c r="N47" s="34"/>
      <c r="O47" s="34"/>
      <c r="P47" s="34"/>
      <c r="Q47" s="34"/>
      <c r="R47" s="34"/>
      <c r="S47" s="34"/>
      <c r="T47" s="34"/>
      <c r="U47" s="34"/>
      <c r="V47" s="34"/>
      <c r="W47" s="34"/>
    </row>
    <row r="48" spans="1:28" x14ac:dyDescent="0.25">
      <c r="A48" s="34" t="s">
        <v>117</v>
      </c>
      <c r="B48" s="34"/>
      <c r="C48" s="34"/>
      <c r="D48" s="34"/>
      <c r="E48" s="34"/>
      <c r="F48" s="34"/>
      <c r="G48" s="34"/>
      <c r="H48" s="34"/>
      <c r="I48" s="34"/>
      <c r="J48" s="34"/>
      <c r="K48" s="34"/>
      <c r="L48" s="34"/>
      <c r="M48" s="34"/>
      <c r="N48" s="34"/>
      <c r="O48" s="34"/>
      <c r="P48" s="34"/>
      <c r="Q48" s="34"/>
      <c r="R48" s="34"/>
      <c r="S48" s="34"/>
      <c r="T48" s="34"/>
      <c r="U48" s="34"/>
      <c r="V48" s="34"/>
      <c r="W48" s="34"/>
    </row>
    <row r="49" spans="1:23" x14ac:dyDescent="0.25">
      <c r="A49" s="261" t="s">
        <v>118</v>
      </c>
      <c r="B49" s="261"/>
      <c r="C49" s="261"/>
      <c r="D49" s="261"/>
      <c r="E49" s="261"/>
      <c r="F49" s="261"/>
      <c r="G49" s="261"/>
      <c r="H49" s="261"/>
      <c r="I49" s="261"/>
      <c r="J49" s="261"/>
      <c r="K49" s="261"/>
      <c r="L49" s="261"/>
      <c r="M49" s="261"/>
      <c r="N49" s="261"/>
      <c r="O49" s="261"/>
      <c r="P49" s="261"/>
      <c r="Q49" s="261"/>
      <c r="R49" s="261"/>
      <c r="S49" s="261"/>
      <c r="T49" s="261"/>
      <c r="U49" s="261"/>
      <c r="V49" s="261"/>
      <c r="W49" s="261"/>
    </row>
    <row r="51" spans="1:23" x14ac:dyDescent="0.25">
      <c r="A51" s="34"/>
      <c r="B51" s="34"/>
      <c r="C51" s="34"/>
      <c r="D51" s="34"/>
      <c r="E51" s="34"/>
      <c r="F51" s="34"/>
      <c r="G51" s="34"/>
      <c r="H51" s="34"/>
      <c r="I51" s="34"/>
      <c r="J51" s="34"/>
      <c r="K51" s="34"/>
      <c r="L51" s="34"/>
      <c r="M51" s="34"/>
      <c r="N51" s="34"/>
      <c r="O51" s="34"/>
      <c r="P51" s="34"/>
      <c r="Q51" s="34"/>
      <c r="R51" s="34"/>
      <c r="S51" s="34"/>
      <c r="T51" s="34"/>
      <c r="U51" s="34"/>
      <c r="V51" s="34"/>
      <c r="W51" s="34"/>
    </row>
  </sheetData>
  <mergeCells count="49">
    <mergeCell ref="A49:W49"/>
    <mergeCell ref="H32:H33"/>
    <mergeCell ref="I32:I33"/>
    <mergeCell ref="J32:J33"/>
    <mergeCell ref="K32:K33"/>
    <mergeCell ref="L32:M32"/>
    <mergeCell ref="N32:O32"/>
    <mergeCell ref="A32:A33"/>
    <mergeCell ref="B32:B33"/>
    <mergeCell ref="C32:C33"/>
    <mergeCell ref="E32:E33"/>
    <mergeCell ref="F32:F33"/>
    <mergeCell ref="A21:T21"/>
    <mergeCell ref="A23:S23"/>
    <mergeCell ref="D32:D33"/>
    <mergeCell ref="A20:T20"/>
    <mergeCell ref="B43:O43"/>
    <mergeCell ref="R8:R9"/>
    <mergeCell ref="G32:G33"/>
    <mergeCell ref="U8:W8"/>
    <mergeCell ref="P32:Q32"/>
    <mergeCell ref="A30:K30"/>
    <mergeCell ref="L8:L9"/>
    <mergeCell ref="M8:M9"/>
    <mergeCell ref="N8:N9"/>
    <mergeCell ref="O8:O9"/>
    <mergeCell ref="D8:D9"/>
    <mergeCell ref="J8:J9"/>
    <mergeCell ref="B16:Y16"/>
    <mergeCell ref="A25:T25"/>
    <mergeCell ref="A26:T26"/>
    <mergeCell ref="A27:S27"/>
    <mergeCell ref="A28:S28"/>
    <mergeCell ref="S8:T9"/>
    <mergeCell ref="A22:T22"/>
    <mergeCell ref="K8:K9"/>
    <mergeCell ref="A24:T24"/>
    <mergeCell ref="A1:Y1"/>
    <mergeCell ref="A6:Y6"/>
    <mergeCell ref="A8:A9"/>
    <mergeCell ref="B8:B9"/>
    <mergeCell ref="C8:C9"/>
    <mergeCell ref="E8:E9"/>
    <mergeCell ref="F8:F9"/>
    <mergeCell ref="G8:G9"/>
    <mergeCell ref="H8:H9"/>
    <mergeCell ref="I8:I9"/>
    <mergeCell ref="X8:Y8"/>
    <mergeCell ref="P8:Q8"/>
  </mergeCells>
  <printOptions horizontalCentered="1"/>
  <pageMargins left="0" right="0" top="0" bottom="0" header="0" footer="0"/>
  <pageSetup paperSize="8" scale="6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5"/>
  <sheetViews>
    <sheetView zoomScaleNormal="100" workbookViewId="0">
      <selection activeCell="F15" sqref="F15"/>
    </sheetView>
  </sheetViews>
  <sheetFormatPr baseColWidth="10" defaultRowHeight="15" x14ac:dyDescent="0.25"/>
  <cols>
    <col min="1" max="1" width="7.28515625" customWidth="1"/>
    <col min="2" max="2" width="37.28515625" customWidth="1"/>
    <col min="4" max="4" width="9.5703125" customWidth="1"/>
    <col min="5" max="5" width="15.42578125" customWidth="1"/>
    <col min="8" max="8" width="9.5703125" customWidth="1"/>
    <col min="9" max="9" width="11" customWidth="1"/>
    <col min="10" max="10" width="11.7109375" customWidth="1"/>
    <col min="11" max="11" width="17.42578125" customWidth="1"/>
    <col min="12" max="12" width="10.42578125" customWidth="1"/>
    <col min="13" max="13" width="14.5703125" customWidth="1"/>
    <col min="14" max="14" width="12.140625" customWidth="1"/>
    <col min="15" max="15" width="11.85546875" customWidth="1"/>
    <col min="17" max="17" width="10.7109375" customWidth="1"/>
    <col min="18" max="18" width="13.42578125" customWidth="1"/>
    <col min="19" max="19" width="12.85546875" customWidth="1"/>
    <col min="20" max="20" width="9.7109375" customWidth="1"/>
    <col min="21" max="21" width="9.5703125" customWidth="1"/>
    <col min="22" max="22" width="8.7109375" bestFit="1" customWidth="1"/>
    <col min="23" max="23" width="8.42578125" customWidth="1"/>
  </cols>
  <sheetData>
    <row r="1" spans="1:26" ht="30" customHeight="1" x14ac:dyDescent="0.25">
      <c r="A1" s="305" t="s">
        <v>119</v>
      </c>
      <c r="B1" s="305"/>
      <c r="C1" s="305"/>
      <c r="D1" s="305"/>
      <c r="E1" s="305"/>
      <c r="F1" s="305"/>
      <c r="G1" s="305"/>
      <c r="H1" s="305"/>
      <c r="I1" s="305"/>
      <c r="J1" s="305"/>
      <c r="K1" s="305"/>
      <c r="L1" s="305"/>
      <c r="M1" s="305"/>
      <c r="N1" s="305"/>
      <c r="O1" s="305"/>
      <c r="P1" s="305"/>
      <c r="Q1" s="305"/>
      <c r="R1" s="305"/>
      <c r="S1" s="305"/>
      <c r="T1" s="305"/>
      <c r="U1" s="305"/>
      <c r="V1" s="305"/>
      <c r="W1" s="305"/>
    </row>
    <row r="2" spans="1:26" ht="22.5" x14ac:dyDescent="0.25">
      <c r="A2" s="19"/>
      <c r="B2" s="19"/>
      <c r="C2" s="19"/>
      <c r="D2" s="19"/>
      <c r="E2" s="19"/>
      <c r="F2" s="19"/>
      <c r="G2" s="19"/>
      <c r="H2" s="19"/>
      <c r="I2" s="19"/>
      <c r="J2" s="19"/>
      <c r="K2" s="19"/>
      <c r="L2" s="19"/>
      <c r="M2" s="19"/>
      <c r="N2" s="19"/>
      <c r="O2" s="19"/>
      <c r="P2" s="19"/>
      <c r="Q2" s="19"/>
      <c r="R2" s="19"/>
      <c r="S2" s="19"/>
      <c r="T2" s="19"/>
      <c r="U2" s="19"/>
      <c r="V2" s="19"/>
      <c r="W2" s="19"/>
    </row>
    <row r="3" spans="1:26" ht="22.5" x14ac:dyDescent="0.25">
      <c r="A3" s="19"/>
      <c r="B3" s="19"/>
      <c r="C3" s="19"/>
      <c r="D3" s="19"/>
      <c r="E3" s="19"/>
      <c r="F3" s="19"/>
      <c r="G3" s="19"/>
      <c r="H3" s="19"/>
      <c r="I3" s="19"/>
      <c r="J3" s="19"/>
      <c r="K3" s="19"/>
      <c r="L3" s="19"/>
      <c r="M3" s="19"/>
      <c r="N3" s="19"/>
      <c r="O3" s="19"/>
      <c r="P3" s="20" t="s">
        <v>6</v>
      </c>
      <c r="Q3" s="18"/>
      <c r="R3" s="19">
        <v>2022</v>
      </c>
      <c r="S3" s="18"/>
      <c r="T3" s="19"/>
      <c r="U3" s="19"/>
      <c r="V3" s="19"/>
      <c r="W3" s="19"/>
    </row>
    <row r="4" spans="1:26" ht="22.5" x14ac:dyDescent="0.25">
      <c r="A4" s="19"/>
      <c r="B4" s="19"/>
      <c r="C4" s="19"/>
      <c r="D4" s="19"/>
      <c r="E4" s="19"/>
      <c r="F4" s="19"/>
      <c r="G4" s="19"/>
      <c r="H4" s="19"/>
      <c r="I4" s="46"/>
      <c r="J4" s="46"/>
      <c r="K4" s="46"/>
      <c r="L4" s="19"/>
      <c r="M4" s="19"/>
      <c r="N4" s="19"/>
      <c r="O4" s="19"/>
      <c r="P4" s="21" t="s">
        <v>35</v>
      </c>
      <c r="Q4" s="18"/>
      <c r="R4" s="19">
        <v>33</v>
      </c>
      <c r="S4" s="18"/>
      <c r="T4" s="19"/>
      <c r="U4" s="19"/>
      <c r="V4" s="19"/>
      <c r="W4" s="19"/>
    </row>
    <row r="5" spans="1:26" ht="22.5" x14ac:dyDescent="0.25">
      <c r="A5" s="19"/>
      <c r="B5" s="19"/>
      <c r="C5" s="19"/>
      <c r="D5" s="18"/>
      <c r="E5" s="19"/>
      <c r="F5" s="19"/>
      <c r="G5" s="19"/>
      <c r="H5" s="19"/>
      <c r="I5" s="19"/>
      <c r="J5" s="19"/>
      <c r="K5" s="19"/>
      <c r="L5" s="19"/>
      <c r="M5" s="19"/>
      <c r="N5" s="19"/>
      <c r="O5" s="19"/>
      <c r="P5" s="20" t="s">
        <v>36</v>
      </c>
      <c r="Q5" s="19"/>
      <c r="R5" s="61" t="s">
        <v>27</v>
      </c>
      <c r="S5" s="61"/>
      <c r="T5" s="19"/>
      <c r="U5" s="19"/>
      <c r="V5" s="19"/>
      <c r="W5" s="19"/>
    </row>
    <row r="6" spans="1:26" ht="24.75" x14ac:dyDescent="0.25">
      <c r="A6" s="315" t="s">
        <v>120</v>
      </c>
      <c r="B6" s="315"/>
      <c r="C6" s="315"/>
      <c r="D6" s="315"/>
      <c r="E6" s="315"/>
      <c r="F6" s="315"/>
      <c r="G6" s="315"/>
      <c r="H6" s="315"/>
      <c r="I6" s="19"/>
      <c r="J6" s="19"/>
      <c r="K6" s="19"/>
      <c r="L6" s="19"/>
      <c r="M6" s="19"/>
      <c r="N6" s="19"/>
      <c r="O6" s="19"/>
      <c r="P6" s="20"/>
      <c r="Q6" s="19"/>
      <c r="R6" s="19"/>
      <c r="S6" s="19"/>
      <c r="T6" s="19"/>
      <c r="U6" s="19"/>
      <c r="V6" s="19"/>
      <c r="W6" s="19"/>
    </row>
    <row r="7" spans="1:26" x14ac:dyDescent="0.25">
      <c r="A7" s="23"/>
      <c r="B7" s="23"/>
      <c r="C7" s="23"/>
      <c r="D7" s="23"/>
      <c r="E7" s="23"/>
      <c r="F7" s="23"/>
      <c r="G7" s="23"/>
      <c r="H7" s="23"/>
      <c r="I7" s="23"/>
      <c r="J7" s="23"/>
      <c r="K7" s="23"/>
      <c r="L7" s="23"/>
      <c r="M7" s="23"/>
      <c r="N7" s="23"/>
      <c r="O7" s="23"/>
      <c r="P7" s="23"/>
      <c r="Q7" s="23"/>
      <c r="R7" s="23"/>
      <c r="S7" s="23"/>
      <c r="T7" s="23"/>
      <c r="U7" s="23"/>
      <c r="V7" s="23"/>
      <c r="W7" s="23"/>
    </row>
    <row r="8" spans="1:26" s="47" customFormat="1" ht="35.25" customHeight="1" x14ac:dyDescent="0.25">
      <c r="A8" s="316" t="s">
        <v>1</v>
      </c>
      <c r="B8" s="316" t="s">
        <v>37</v>
      </c>
      <c r="C8" s="316" t="s">
        <v>38</v>
      </c>
      <c r="D8" s="316" t="s">
        <v>39</v>
      </c>
      <c r="E8" s="316" t="s">
        <v>121</v>
      </c>
      <c r="F8" s="316" t="s">
        <v>109</v>
      </c>
      <c r="G8" s="316" t="s">
        <v>110</v>
      </c>
      <c r="H8" s="316" t="s">
        <v>122</v>
      </c>
      <c r="I8" s="320" t="s">
        <v>123</v>
      </c>
      <c r="J8" s="316" t="s">
        <v>124</v>
      </c>
      <c r="K8" s="316" t="s">
        <v>125</v>
      </c>
      <c r="L8" s="322" t="s">
        <v>126</v>
      </c>
      <c r="M8" s="322"/>
      <c r="N8" s="322" t="s">
        <v>127</v>
      </c>
      <c r="O8" s="316" t="s">
        <v>128</v>
      </c>
      <c r="P8" s="316" t="s">
        <v>129</v>
      </c>
      <c r="Q8" s="316" t="s">
        <v>130</v>
      </c>
      <c r="R8" s="316" t="s">
        <v>131</v>
      </c>
      <c r="S8" s="316" t="s">
        <v>132</v>
      </c>
      <c r="T8" s="318" t="s">
        <v>133</v>
      </c>
      <c r="U8" s="319"/>
      <c r="V8" s="318" t="s">
        <v>54</v>
      </c>
      <c r="W8" s="319"/>
    </row>
    <row r="9" spans="1:26" s="47" customFormat="1" ht="118.5" customHeight="1" x14ac:dyDescent="0.25">
      <c r="A9" s="317"/>
      <c r="B9" s="317"/>
      <c r="C9" s="317"/>
      <c r="D9" s="317"/>
      <c r="E9" s="317"/>
      <c r="F9" s="317"/>
      <c r="G9" s="317"/>
      <c r="H9" s="317"/>
      <c r="I9" s="321"/>
      <c r="J9" s="317"/>
      <c r="K9" s="317"/>
      <c r="L9" s="26" t="s">
        <v>134</v>
      </c>
      <c r="M9" s="26" t="s">
        <v>135</v>
      </c>
      <c r="N9" s="322"/>
      <c r="O9" s="317"/>
      <c r="P9" s="317"/>
      <c r="Q9" s="317"/>
      <c r="R9" s="317"/>
      <c r="S9" s="317"/>
      <c r="T9" s="41" t="s">
        <v>98</v>
      </c>
      <c r="U9" s="48" t="s">
        <v>99</v>
      </c>
      <c r="V9" s="25" t="s">
        <v>60</v>
      </c>
      <c r="W9" s="25" t="s">
        <v>61</v>
      </c>
    </row>
    <row r="10" spans="1:26" ht="30" customHeight="1" x14ac:dyDescent="0.25">
      <c r="A10" s="42"/>
      <c r="B10" s="49"/>
      <c r="C10" s="28"/>
      <c r="D10" s="28"/>
      <c r="E10" s="28"/>
      <c r="F10" s="28"/>
      <c r="G10" s="28"/>
      <c r="H10" s="27"/>
      <c r="I10" s="27"/>
      <c r="J10" s="27"/>
      <c r="K10" s="27"/>
      <c r="L10" s="27"/>
      <c r="M10" s="65"/>
      <c r="N10" s="27"/>
      <c r="O10" s="27"/>
      <c r="P10" s="27"/>
      <c r="Q10" s="50"/>
      <c r="R10" s="50"/>
      <c r="S10" s="50"/>
      <c r="T10" s="27"/>
      <c r="U10" s="27"/>
      <c r="V10" s="27"/>
      <c r="W10" s="27"/>
    </row>
    <row r="11" spans="1:26" ht="29.25" customHeight="1" x14ac:dyDescent="0.25">
      <c r="A11" s="42"/>
      <c r="B11" s="193" t="s">
        <v>142</v>
      </c>
      <c r="C11" s="193"/>
      <c r="D11" s="193"/>
      <c r="E11" s="193"/>
      <c r="F11" s="193"/>
      <c r="G11" s="193"/>
      <c r="H11" s="193"/>
      <c r="I11" s="193"/>
      <c r="J11" s="193"/>
      <c r="K11" s="193"/>
      <c r="L11" s="193"/>
      <c r="M11" s="193"/>
      <c r="N11" s="193"/>
      <c r="O11" s="193"/>
      <c r="P11" s="193"/>
      <c r="Q11" s="193"/>
      <c r="R11" s="193"/>
      <c r="S11" s="193"/>
      <c r="T11" s="193"/>
      <c r="U11" s="193"/>
      <c r="V11" s="193"/>
      <c r="W11" s="194"/>
    </row>
    <row r="12" spans="1:26" ht="18" x14ac:dyDescent="0.25">
      <c r="A12" s="43"/>
      <c r="B12" s="20"/>
      <c r="C12" s="20"/>
      <c r="D12" s="20"/>
      <c r="E12" s="20"/>
      <c r="F12" s="20"/>
      <c r="G12" s="20"/>
      <c r="H12" s="20"/>
      <c r="I12" s="20"/>
      <c r="J12" s="20"/>
      <c r="K12" s="20"/>
      <c r="L12" s="20"/>
      <c r="M12" s="20"/>
      <c r="N12" s="20"/>
      <c r="O12" s="20"/>
      <c r="P12" s="20"/>
      <c r="Q12" s="20"/>
      <c r="R12" s="20"/>
      <c r="S12" s="20"/>
      <c r="T12" s="20"/>
      <c r="U12" s="20"/>
      <c r="V12" s="20"/>
      <c r="W12" s="20"/>
    </row>
    <row r="13" spans="1:26" ht="18" x14ac:dyDescent="0.25">
      <c r="A13" s="43"/>
      <c r="B13" s="20"/>
      <c r="C13" s="20"/>
      <c r="D13" s="20"/>
      <c r="E13" s="20"/>
      <c r="F13" s="20"/>
      <c r="G13" s="20"/>
      <c r="H13" s="20"/>
      <c r="I13" s="20"/>
      <c r="J13" s="20"/>
      <c r="K13" s="20"/>
      <c r="L13" s="20"/>
      <c r="M13" s="20"/>
      <c r="N13" s="20"/>
      <c r="O13" s="20"/>
      <c r="P13" s="20"/>
      <c r="Q13" s="20"/>
      <c r="R13" s="20"/>
      <c r="S13" s="20"/>
      <c r="T13" s="20"/>
      <c r="U13" s="20"/>
      <c r="V13" s="20"/>
      <c r="W13" s="20"/>
    </row>
    <row r="14" spans="1:26" s="18" customFormat="1"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s="18" customFormat="1" x14ac:dyDescent="0.25">
      <c r="A15" s="29" t="s">
        <v>62</v>
      </c>
      <c r="B15" s="30"/>
      <c r="C15" s="30"/>
      <c r="D15" s="30"/>
      <c r="E15" s="30"/>
      <c r="F15" s="30"/>
      <c r="G15" s="30"/>
      <c r="H15" s="31"/>
      <c r="I15" s="30"/>
      <c r="J15" s="30"/>
      <c r="K15" s="30"/>
      <c r="L15" s="30"/>
      <c r="M15" s="30"/>
      <c r="N15" s="30"/>
      <c r="O15" s="30"/>
      <c r="P15" s="30"/>
      <c r="Q15" s="30"/>
      <c r="R15" s="30"/>
      <c r="S15" s="30"/>
      <c r="T15" s="30"/>
      <c r="U15" s="30"/>
    </row>
    <row r="16" spans="1:26" s="18" customFormat="1" x14ac:dyDescent="0.25">
      <c r="A16" s="261" t="s">
        <v>100</v>
      </c>
      <c r="B16" s="261"/>
      <c r="C16" s="261"/>
      <c r="D16" s="261"/>
      <c r="E16" s="261"/>
      <c r="F16" s="261"/>
      <c r="G16" s="261"/>
      <c r="H16" s="261"/>
      <c r="I16" s="261"/>
      <c r="J16" s="261"/>
      <c r="K16" s="261"/>
      <c r="L16" s="261"/>
      <c r="M16" s="261"/>
      <c r="N16" s="261"/>
      <c r="O16" s="261"/>
      <c r="P16" s="261"/>
      <c r="Q16" s="261"/>
      <c r="R16" s="261"/>
      <c r="S16" s="261"/>
      <c r="T16" s="261"/>
      <c r="U16" s="261"/>
    </row>
    <row r="17" spans="1:23" s="18" customFormat="1" x14ac:dyDescent="0.25">
      <c r="A17" s="261" t="s">
        <v>64</v>
      </c>
      <c r="B17" s="261"/>
      <c r="C17" s="261"/>
      <c r="D17" s="261"/>
      <c r="E17" s="261"/>
      <c r="F17" s="261"/>
      <c r="G17" s="261"/>
      <c r="H17" s="261"/>
      <c r="I17" s="261"/>
      <c r="J17" s="261"/>
      <c r="K17" s="261"/>
      <c r="L17" s="261"/>
      <c r="M17" s="261"/>
      <c r="N17" s="261"/>
      <c r="O17" s="261"/>
      <c r="P17" s="261"/>
      <c r="Q17" s="261"/>
      <c r="R17" s="261"/>
      <c r="S17" s="261"/>
      <c r="T17" s="261"/>
      <c r="U17" s="261"/>
    </row>
    <row r="18" spans="1:23" s="18" customFormat="1" x14ac:dyDescent="0.25">
      <c r="A18" s="261" t="s">
        <v>117</v>
      </c>
      <c r="B18" s="261"/>
      <c r="C18" s="261"/>
      <c r="D18" s="261"/>
      <c r="E18" s="261"/>
      <c r="F18" s="261"/>
      <c r="G18" s="261"/>
      <c r="H18" s="261"/>
      <c r="I18" s="261"/>
      <c r="J18" s="261"/>
      <c r="K18" s="261"/>
      <c r="L18" s="261"/>
      <c r="M18" s="261"/>
      <c r="N18" s="261"/>
      <c r="O18" s="261"/>
      <c r="P18" s="261"/>
      <c r="Q18" s="261"/>
      <c r="R18" s="261"/>
      <c r="S18" s="261"/>
      <c r="T18" s="261"/>
      <c r="U18" s="261"/>
    </row>
    <row r="19" spans="1:23" s="18" customFormat="1" x14ac:dyDescent="0.25">
      <c r="A19" s="261" t="s">
        <v>118</v>
      </c>
      <c r="B19" s="261"/>
      <c r="C19" s="261"/>
      <c r="D19" s="261"/>
      <c r="E19" s="261"/>
      <c r="F19" s="261"/>
      <c r="G19" s="261"/>
      <c r="H19" s="261"/>
      <c r="I19" s="261"/>
      <c r="J19" s="261"/>
      <c r="K19" s="261"/>
      <c r="L19" s="261"/>
      <c r="M19" s="261"/>
      <c r="N19" s="261"/>
      <c r="O19" s="261"/>
      <c r="P19" s="261"/>
      <c r="Q19" s="261"/>
      <c r="R19" s="261"/>
      <c r="S19" s="261"/>
      <c r="T19" s="261"/>
      <c r="U19" s="261"/>
    </row>
    <row r="20" spans="1:23" s="18" customFormat="1" x14ac:dyDescent="0.25">
      <c r="A20" s="34"/>
      <c r="B20" s="34"/>
      <c r="C20" s="34"/>
      <c r="D20" s="34"/>
      <c r="E20" s="34"/>
      <c r="F20" s="34"/>
      <c r="G20" s="34"/>
      <c r="H20" s="34"/>
      <c r="I20" s="34"/>
      <c r="J20" s="34"/>
      <c r="K20" s="34"/>
      <c r="L20" s="34"/>
      <c r="M20" s="34"/>
      <c r="N20" s="34"/>
      <c r="O20" s="34"/>
      <c r="P20" s="34"/>
      <c r="Q20" s="34"/>
      <c r="R20" s="34"/>
      <c r="S20" s="34"/>
      <c r="T20" s="34"/>
      <c r="U20" s="34"/>
    </row>
    <row r="21" spans="1:23" s="18" customFormat="1" x14ac:dyDescent="0.25">
      <c r="A21" s="34"/>
      <c r="B21" s="34"/>
      <c r="C21" s="34"/>
      <c r="D21" s="34"/>
      <c r="E21" s="34"/>
      <c r="F21" s="34"/>
      <c r="G21" s="34"/>
      <c r="H21" s="34"/>
      <c r="I21" s="34"/>
      <c r="J21" s="34"/>
      <c r="K21" s="34"/>
      <c r="L21" s="34"/>
      <c r="M21" s="34"/>
      <c r="N21" s="34"/>
      <c r="O21" s="34"/>
      <c r="P21" s="34"/>
      <c r="Q21" s="34"/>
      <c r="R21" s="34"/>
      <c r="S21" s="34"/>
      <c r="T21" s="34"/>
      <c r="U21" s="34"/>
    </row>
    <row r="22" spans="1:23" s="18" customFormat="1" ht="22.5" x14ac:dyDescent="0.25">
      <c r="V22" s="51"/>
      <c r="W22" s="51"/>
    </row>
    <row r="23" spans="1:23" x14ac:dyDescent="0.25">
      <c r="V23" s="18"/>
      <c r="W23" s="18"/>
    </row>
    <row r="24" spans="1:23" ht="24" customHeight="1" x14ac:dyDescent="0.25">
      <c r="V24" s="18"/>
      <c r="W24" s="18"/>
    </row>
    <row r="25" spans="1:23" ht="48.75" customHeight="1" x14ac:dyDescent="0.25"/>
  </sheetData>
  <mergeCells count="27">
    <mergeCell ref="A19:U19"/>
    <mergeCell ref="T8:U8"/>
    <mergeCell ref="B11:W11"/>
    <mergeCell ref="A16:U16"/>
    <mergeCell ref="A17:U17"/>
    <mergeCell ref="A18:U18"/>
    <mergeCell ref="O8:O9"/>
    <mergeCell ref="P8:P9"/>
    <mergeCell ref="Q8:Q9"/>
    <mergeCell ref="R8:R9"/>
    <mergeCell ref="S8:S9"/>
    <mergeCell ref="A1:W1"/>
    <mergeCell ref="A6:H6"/>
    <mergeCell ref="A8:A9"/>
    <mergeCell ref="B8:B9"/>
    <mergeCell ref="C8:C9"/>
    <mergeCell ref="D8:D9"/>
    <mergeCell ref="E8:E9"/>
    <mergeCell ref="F8:F9"/>
    <mergeCell ref="G8:G9"/>
    <mergeCell ref="H8:H9"/>
    <mergeCell ref="V8:W8"/>
    <mergeCell ref="I8:I9"/>
    <mergeCell ref="J8:J9"/>
    <mergeCell ref="K8:K9"/>
    <mergeCell ref="L8:M8"/>
    <mergeCell ref="N8:N9"/>
  </mergeCells>
  <pageMargins left="0.7" right="0.7" top="0.75" bottom="0.75" header="0.3" footer="0.3"/>
  <pageSetup paperSize="9" scale="4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3</vt:i4>
      </vt:variant>
    </vt:vector>
  </HeadingPairs>
  <TitlesOfParts>
    <vt:vector size="9" baseType="lpstr">
      <vt:lpstr>PGPM</vt:lpstr>
      <vt:lpstr>PLAN DE PASSATION DES MARCHES </vt:lpstr>
      <vt:lpstr>AMI ET PQL</vt:lpstr>
      <vt:lpstr>PGSPM</vt:lpstr>
      <vt:lpstr>PSC_PSL_PSO </vt:lpstr>
      <vt:lpstr>LISTE RESTREINTE</vt:lpstr>
      <vt:lpstr>PGPM!Zone_d_impression</vt:lpstr>
      <vt:lpstr>'PLAN DE PASSATION DES MARCHES '!Zone_d_impression</vt:lpstr>
      <vt:lpstr>'PSC_PSL_PSO '!Zone_d_impression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pulcherie</dc:creator>
  <cp:lastModifiedBy>Karen SAKI</cp:lastModifiedBy>
  <cp:lastPrinted>2024-02-08T10:18:09Z</cp:lastPrinted>
  <dcterms:created xsi:type="dcterms:W3CDTF">2013-08-22T13:58:36Z</dcterms:created>
  <dcterms:modified xsi:type="dcterms:W3CDTF">2024-02-15T12:34:31Z</dcterms:modified>
</cp:coreProperties>
</file>